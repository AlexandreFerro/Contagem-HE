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updateLinks="never" codeName="EstaPasta_de_trabalho" autoCompressPictures="0"/>
  <mc:AlternateContent xmlns:mc="http://schemas.openxmlformats.org/markup-compatibility/2006">
    <mc:Choice Requires="x15">
      <x15ac:absPath xmlns:x15ac="http://schemas.microsoft.com/office/spreadsheetml/2010/11/ac" url="E:\Users\i1819708\Documents\Administrativo\Planilhas\Planilhas automáticas\"/>
    </mc:Choice>
  </mc:AlternateContent>
  <xr:revisionPtr revIDLastSave="0" documentId="13_ncr:1_{93CDC5AF-3768-4ACD-AEDF-4C07239D8D61}" xr6:coauthVersionLast="47" xr6:coauthVersionMax="47" xr10:uidLastSave="{00000000-0000-0000-0000-000000000000}"/>
  <bookViews>
    <workbookView xWindow="-120" yWindow="-120" windowWidth="21840" windowHeight="13140" tabRatio="531" xr2:uid="{00000000-000D-0000-FFFF-FFFF00000000}"/>
  </bookViews>
  <sheets>
    <sheet name="Capa" sheetId="27" r:id="rId1"/>
    <sheet name="Escala1" sheetId="25" r:id="rId2"/>
    <sheet name="Horas Extras" sheetId="22" r:id="rId3"/>
    <sheet name="Formulário" sheetId="26" r:id="rId4"/>
    <sheet name="Listas de Opções" sheetId="20" state="hidden" r:id="rId5"/>
  </sheets>
  <definedNames>
    <definedName name="_xlnm.Print_Area" localSheetId="1">Escala1!$A$1:$AH$59</definedName>
    <definedName name="CF" localSheetId="3">Formulário!$G$1</definedName>
    <definedName name="Texto13" localSheetId="3">Formulário!$A$5</definedName>
    <definedName name="_xlnm.Print_Titles" localSheetId="1">Escala1!$1:$15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6" i="22" l="1"/>
  <c r="W36" i="22" s="1"/>
  <c r="K36" i="22"/>
  <c r="V36" i="22" s="1"/>
  <c r="J36" i="22"/>
  <c r="U36" i="22" s="1"/>
  <c r="I36" i="22"/>
  <c r="T36" i="22" s="1"/>
  <c r="H36" i="22"/>
  <c r="S36" i="22" s="1"/>
  <c r="G36" i="22"/>
  <c r="R36" i="22" s="1"/>
  <c r="F36" i="22"/>
  <c r="Q36" i="22" s="1"/>
  <c r="E36" i="22"/>
  <c r="P36" i="22" s="1"/>
  <c r="D36" i="22"/>
  <c r="O36" i="22" s="1"/>
  <c r="L35" i="22"/>
  <c r="W35" i="22" s="1"/>
  <c r="K35" i="22"/>
  <c r="V35" i="22" s="1"/>
  <c r="J35" i="22"/>
  <c r="U35" i="22" s="1"/>
  <c r="I35" i="22"/>
  <c r="T35" i="22" s="1"/>
  <c r="H35" i="22"/>
  <c r="S35" i="22" s="1"/>
  <c r="G35" i="22"/>
  <c r="R35" i="22" s="1"/>
  <c r="F35" i="22"/>
  <c r="Q35" i="22" s="1"/>
  <c r="E35" i="22"/>
  <c r="P35" i="22" s="1"/>
  <c r="D35" i="22"/>
  <c r="O35" i="22" s="1"/>
  <c r="L34" i="22"/>
  <c r="W34" i="22" s="1"/>
  <c r="K34" i="22"/>
  <c r="V34" i="22" s="1"/>
  <c r="J34" i="22"/>
  <c r="U34" i="22" s="1"/>
  <c r="I34" i="22"/>
  <c r="T34" i="22" s="1"/>
  <c r="H34" i="22"/>
  <c r="S34" i="22" s="1"/>
  <c r="G34" i="22"/>
  <c r="R34" i="22" s="1"/>
  <c r="F34" i="22"/>
  <c r="Q34" i="22" s="1"/>
  <c r="E34" i="22"/>
  <c r="P34" i="22" s="1"/>
  <c r="D34" i="22"/>
  <c r="O34" i="22" s="1"/>
  <c r="L33" i="22"/>
  <c r="W33" i="22" s="1"/>
  <c r="K33" i="22"/>
  <c r="V33" i="22" s="1"/>
  <c r="J33" i="22"/>
  <c r="U33" i="22" s="1"/>
  <c r="I33" i="22"/>
  <c r="T33" i="22" s="1"/>
  <c r="H33" i="22"/>
  <c r="S33" i="22" s="1"/>
  <c r="G33" i="22"/>
  <c r="R33" i="22" s="1"/>
  <c r="F33" i="22"/>
  <c r="Q33" i="22" s="1"/>
  <c r="E33" i="22"/>
  <c r="P33" i="22" s="1"/>
  <c r="D33" i="22"/>
  <c r="O33" i="22" s="1"/>
  <c r="L32" i="22"/>
  <c r="W32" i="22" s="1"/>
  <c r="K32" i="22"/>
  <c r="V32" i="22" s="1"/>
  <c r="J32" i="22"/>
  <c r="U32" i="22" s="1"/>
  <c r="I32" i="22"/>
  <c r="T32" i="22" s="1"/>
  <c r="H32" i="22"/>
  <c r="S32" i="22" s="1"/>
  <c r="G32" i="22"/>
  <c r="R32" i="22" s="1"/>
  <c r="F32" i="22"/>
  <c r="Q32" i="22" s="1"/>
  <c r="E32" i="22"/>
  <c r="P32" i="22" s="1"/>
  <c r="D32" i="22"/>
  <c r="O32" i="22" s="1"/>
  <c r="L31" i="22"/>
  <c r="W31" i="22" s="1"/>
  <c r="K31" i="22"/>
  <c r="V31" i="22" s="1"/>
  <c r="J31" i="22"/>
  <c r="U31" i="22" s="1"/>
  <c r="I31" i="22"/>
  <c r="T31" i="22" s="1"/>
  <c r="H31" i="22"/>
  <c r="S31" i="22" s="1"/>
  <c r="G31" i="22"/>
  <c r="R31" i="22" s="1"/>
  <c r="F31" i="22"/>
  <c r="Q31" i="22" s="1"/>
  <c r="E31" i="22"/>
  <c r="P31" i="22" s="1"/>
  <c r="D31" i="22"/>
  <c r="O31" i="22" s="1"/>
  <c r="L30" i="22"/>
  <c r="W30" i="22" s="1"/>
  <c r="K30" i="22"/>
  <c r="V30" i="22" s="1"/>
  <c r="J30" i="22"/>
  <c r="U30" i="22" s="1"/>
  <c r="I30" i="22"/>
  <c r="T30" i="22" s="1"/>
  <c r="H30" i="22"/>
  <c r="S30" i="22" s="1"/>
  <c r="G30" i="22"/>
  <c r="R30" i="22" s="1"/>
  <c r="F30" i="22"/>
  <c r="Q30" i="22" s="1"/>
  <c r="E30" i="22"/>
  <c r="P30" i="22" s="1"/>
  <c r="D30" i="22"/>
  <c r="O30" i="22" s="1"/>
  <c r="L29" i="22"/>
  <c r="W29" i="22" s="1"/>
  <c r="K29" i="22"/>
  <c r="V29" i="22" s="1"/>
  <c r="J29" i="22"/>
  <c r="U29" i="22" s="1"/>
  <c r="I29" i="22"/>
  <c r="T29" i="22" s="1"/>
  <c r="H29" i="22"/>
  <c r="S29" i="22" s="1"/>
  <c r="G29" i="22"/>
  <c r="R29" i="22" s="1"/>
  <c r="F29" i="22"/>
  <c r="Q29" i="22" s="1"/>
  <c r="E29" i="22"/>
  <c r="P29" i="22" s="1"/>
  <c r="D29" i="22"/>
  <c r="O29" i="22" s="1"/>
  <c r="L28" i="22"/>
  <c r="W28" i="22" s="1"/>
  <c r="K28" i="22"/>
  <c r="V28" i="22" s="1"/>
  <c r="J28" i="22"/>
  <c r="U28" i="22" s="1"/>
  <c r="I28" i="22"/>
  <c r="T28" i="22" s="1"/>
  <c r="H28" i="22"/>
  <c r="S28" i="22" s="1"/>
  <c r="G28" i="22"/>
  <c r="R28" i="22" s="1"/>
  <c r="F28" i="22"/>
  <c r="Q28" i="22" s="1"/>
  <c r="E28" i="22"/>
  <c r="P28" i="22" s="1"/>
  <c r="D28" i="22"/>
  <c r="O28" i="22" s="1"/>
  <c r="L27" i="22"/>
  <c r="W27" i="22" s="1"/>
  <c r="K27" i="22"/>
  <c r="V27" i="22" s="1"/>
  <c r="J27" i="22"/>
  <c r="U27" i="22" s="1"/>
  <c r="I27" i="22"/>
  <c r="T27" i="22" s="1"/>
  <c r="H27" i="22"/>
  <c r="S27" i="22" s="1"/>
  <c r="G27" i="22"/>
  <c r="R27" i="22" s="1"/>
  <c r="F27" i="22"/>
  <c r="Q27" i="22" s="1"/>
  <c r="E27" i="22"/>
  <c r="P27" i="22" s="1"/>
  <c r="D27" i="22"/>
  <c r="O27" i="22" s="1"/>
  <c r="L26" i="22"/>
  <c r="W26" i="22" s="1"/>
  <c r="K26" i="22"/>
  <c r="V26" i="22" s="1"/>
  <c r="J26" i="22"/>
  <c r="U26" i="22" s="1"/>
  <c r="I26" i="22"/>
  <c r="T26" i="22" s="1"/>
  <c r="H26" i="22"/>
  <c r="S26" i="22" s="1"/>
  <c r="G26" i="22"/>
  <c r="R26" i="22" s="1"/>
  <c r="F26" i="22"/>
  <c r="Q26" i="22" s="1"/>
  <c r="E26" i="22"/>
  <c r="P26" i="22" s="1"/>
  <c r="D26" i="22"/>
  <c r="O26" i="22" s="1"/>
  <c r="L25" i="22"/>
  <c r="W25" i="22" s="1"/>
  <c r="K25" i="22"/>
  <c r="V25" i="22" s="1"/>
  <c r="J25" i="22"/>
  <c r="U25" i="22" s="1"/>
  <c r="I25" i="22"/>
  <c r="T25" i="22" s="1"/>
  <c r="H25" i="22"/>
  <c r="S25" i="22" s="1"/>
  <c r="G25" i="22"/>
  <c r="R25" i="22" s="1"/>
  <c r="F25" i="22"/>
  <c r="Q25" i="22" s="1"/>
  <c r="E25" i="22"/>
  <c r="P25" i="22" s="1"/>
  <c r="D25" i="22"/>
  <c r="O25" i="22" s="1"/>
  <c r="L24" i="22"/>
  <c r="W24" i="22" s="1"/>
  <c r="K24" i="22"/>
  <c r="V24" i="22" s="1"/>
  <c r="J24" i="22"/>
  <c r="U24" i="22" s="1"/>
  <c r="I24" i="22"/>
  <c r="T24" i="22" s="1"/>
  <c r="H24" i="22"/>
  <c r="S24" i="22" s="1"/>
  <c r="G24" i="22"/>
  <c r="R24" i="22" s="1"/>
  <c r="F24" i="22"/>
  <c r="Q24" i="22" s="1"/>
  <c r="E24" i="22"/>
  <c r="P24" i="22" s="1"/>
  <c r="D24" i="22"/>
  <c r="O24" i="22" s="1"/>
  <c r="L23" i="22"/>
  <c r="W23" i="22" s="1"/>
  <c r="K23" i="22"/>
  <c r="V23" i="22" s="1"/>
  <c r="J23" i="22"/>
  <c r="U23" i="22" s="1"/>
  <c r="I23" i="22"/>
  <c r="T23" i="22" s="1"/>
  <c r="H23" i="22"/>
  <c r="S23" i="22" s="1"/>
  <c r="G23" i="22"/>
  <c r="R23" i="22" s="1"/>
  <c r="F23" i="22"/>
  <c r="Q23" i="22" s="1"/>
  <c r="E23" i="22"/>
  <c r="P23" i="22" s="1"/>
  <c r="D23" i="22"/>
  <c r="O23" i="22" s="1"/>
  <c r="L22" i="22"/>
  <c r="W22" i="22" s="1"/>
  <c r="K22" i="22"/>
  <c r="V22" i="22" s="1"/>
  <c r="J22" i="22"/>
  <c r="U22" i="22" s="1"/>
  <c r="I22" i="22"/>
  <c r="T22" i="22" s="1"/>
  <c r="H22" i="22"/>
  <c r="S22" i="22" s="1"/>
  <c r="G22" i="22"/>
  <c r="R22" i="22" s="1"/>
  <c r="F22" i="22"/>
  <c r="Q22" i="22" s="1"/>
  <c r="E22" i="22"/>
  <c r="P22" i="22" s="1"/>
  <c r="D22" i="22"/>
  <c r="O22" i="22" s="1"/>
  <c r="L21" i="22"/>
  <c r="W21" i="22" s="1"/>
  <c r="K21" i="22"/>
  <c r="V21" i="22" s="1"/>
  <c r="J21" i="22"/>
  <c r="U21" i="22" s="1"/>
  <c r="I21" i="22"/>
  <c r="T21" i="22" s="1"/>
  <c r="H21" i="22"/>
  <c r="S21" i="22" s="1"/>
  <c r="G21" i="22"/>
  <c r="R21" i="22" s="1"/>
  <c r="F21" i="22"/>
  <c r="Q21" i="22" s="1"/>
  <c r="E21" i="22"/>
  <c r="P21" i="22" s="1"/>
  <c r="D21" i="22"/>
  <c r="O21" i="22" s="1"/>
  <c r="L20" i="22"/>
  <c r="W20" i="22" s="1"/>
  <c r="K20" i="22"/>
  <c r="V20" i="22" s="1"/>
  <c r="J20" i="22"/>
  <c r="U20" i="22" s="1"/>
  <c r="I20" i="22"/>
  <c r="T20" i="22" s="1"/>
  <c r="H20" i="22"/>
  <c r="S20" i="22" s="1"/>
  <c r="G20" i="22"/>
  <c r="R20" i="22" s="1"/>
  <c r="F20" i="22"/>
  <c r="Q20" i="22" s="1"/>
  <c r="E20" i="22"/>
  <c r="P20" i="22" s="1"/>
  <c r="D20" i="22"/>
  <c r="O20" i="22" s="1"/>
  <c r="L19" i="22"/>
  <c r="W19" i="22" s="1"/>
  <c r="K19" i="22"/>
  <c r="V19" i="22" s="1"/>
  <c r="J19" i="22"/>
  <c r="U19" i="22" s="1"/>
  <c r="I19" i="22"/>
  <c r="T19" i="22" s="1"/>
  <c r="H19" i="22"/>
  <c r="S19" i="22" s="1"/>
  <c r="G19" i="22"/>
  <c r="R19" i="22" s="1"/>
  <c r="F19" i="22"/>
  <c r="Q19" i="22" s="1"/>
  <c r="E19" i="22"/>
  <c r="P19" i="22" s="1"/>
  <c r="D19" i="22"/>
  <c r="O19" i="22" s="1"/>
  <c r="L18" i="22"/>
  <c r="W18" i="22" s="1"/>
  <c r="K18" i="22"/>
  <c r="V18" i="22" s="1"/>
  <c r="J18" i="22"/>
  <c r="U18" i="22" s="1"/>
  <c r="I18" i="22"/>
  <c r="T18" i="22" s="1"/>
  <c r="H18" i="22"/>
  <c r="S18" i="22" s="1"/>
  <c r="G18" i="22"/>
  <c r="R18" i="22" s="1"/>
  <c r="F18" i="22"/>
  <c r="Q18" i="22" s="1"/>
  <c r="E18" i="22"/>
  <c r="P18" i="22" s="1"/>
  <c r="D18" i="22"/>
  <c r="O18" i="22" s="1"/>
  <c r="L17" i="22"/>
  <c r="W17" i="22" s="1"/>
  <c r="K17" i="22"/>
  <c r="V17" i="22" s="1"/>
  <c r="J17" i="22"/>
  <c r="U17" i="22" s="1"/>
  <c r="I17" i="22"/>
  <c r="T17" i="22" s="1"/>
  <c r="H17" i="22"/>
  <c r="S17" i="22" s="1"/>
  <c r="G17" i="22"/>
  <c r="R17" i="22" s="1"/>
  <c r="F17" i="22"/>
  <c r="Q17" i="22" s="1"/>
  <c r="E17" i="22"/>
  <c r="P17" i="22" s="1"/>
  <c r="D17" i="22"/>
  <c r="O17" i="22" s="1"/>
  <c r="L16" i="22"/>
  <c r="W16" i="22" s="1"/>
  <c r="K16" i="22"/>
  <c r="V16" i="22" s="1"/>
  <c r="J16" i="22"/>
  <c r="U16" i="22" s="1"/>
  <c r="I16" i="22"/>
  <c r="T16" i="22" s="1"/>
  <c r="H16" i="22"/>
  <c r="S16" i="22" s="1"/>
  <c r="G16" i="22"/>
  <c r="R16" i="22" s="1"/>
  <c r="F16" i="22"/>
  <c r="Q16" i="22" s="1"/>
  <c r="E16" i="22"/>
  <c r="P16" i="22" s="1"/>
  <c r="D16" i="22"/>
  <c r="O16" i="22" s="1"/>
  <c r="L15" i="22"/>
  <c r="W15" i="22" s="1"/>
  <c r="K15" i="22"/>
  <c r="V15" i="22" s="1"/>
  <c r="J15" i="22"/>
  <c r="U15" i="22" s="1"/>
  <c r="I15" i="22"/>
  <c r="T15" i="22" s="1"/>
  <c r="H15" i="22"/>
  <c r="S15" i="22" s="1"/>
  <c r="G15" i="22"/>
  <c r="R15" i="22" s="1"/>
  <c r="F15" i="22"/>
  <c r="Q15" i="22" s="1"/>
  <c r="E15" i="22"/>
  <c r="P15" i="22" s="1"/>
  <c r="D15" i="22"/>
  <c r="O15" i="22" s="1"/>
  <c r="L14" i="22"/>
  <c r="W14" i="22" s="1"/>
  <c r="K14" i="22"/>
  <c r="V14" i="22" s="1"/>
  <c r="J14" i="22"/>
  <c r="U14" i="22" s="1"/>
  <c r="I14" i="22"/>
  <c r="T14" i="22" s="1"/>
  <c r="H14" i="22"/>
  <c r="S14" i="22" s="1"/>
  <c r="G14" i="22"/>
  <c r="R14" i="22" s="1"/>
  <c r="F14" i="22"/>
  <c r="Q14" i="22" s="1"/>
  <c r="E14" i="22"/>
  <c r="P14" i="22" s="1"/>
  <c r="D14" i="22"/>
  <c r="O14" i="22" s="1"/>
  <c r="L13" i="22"/>
  <c r="W13" i="22" s="1"/>
  <c r="K13" i="22"/>
  <c r="V13" i="22" s="1"/>
  <c r="J13" i="22"/>
  <c r="U13" i="22" s="1"/>
  <c r="I13" i="22"/>
  <c r="T13" i="22" s="1"/>
  <c r="H13" i="22"/>
  <c r="S13" i="22" s="1"/>
  <c r="G13" i="22"/>
  <c r="R13" i="22" s="1"/>
  <c r="F13" i="22"/>
  <c r="Q13" i="22" s="1"/>
  <c r="E13" i="22"/>
  <c r="P13" i="22" s="1"/>
  <c r="D13" i="22"/>
  <c r="O13" i="22" s="1"/>
  <c r="L12" i="22"/>
  <c r="W12" i="22" s="1"/>
  <c r="K12" i="22"/>
  <c r="V12" i="22" s="1"/>
  <c r="J12" i="22"/>
  <c r="U12" i="22" s="1"/>
  <c r="I12" i="22"/>
  <c r="T12" i="22" s="1"/>
  <c r="H12" i="22"/>
  <c r="S12" i="22" s="1"/>
  <c r="G12" i="22"/>
  <c r="R12" i="22" s="1"/>
  <c r="F12" i="22"/>
  <c r="Q12" i="22" s="1"/>
  <c r="E12" i="22"/>
  <c r="P12" i="22" s="1"/>
  <c r="D12" i="22"/>
  <c r="O12" i="22" s="1"/>
  <c r="L11" i="22"/>
  <c r="W11" i="22" s="1"/>
  <c r="K11" i="22"/>
  <c r="V11" i="22" s="1"/>
  <c r="J11" i="22"/>
  <c r="U11" i="22" s="1"/>
  <c r="I11" i="22"/>
  <c r="T11" i="22" s="1"/>
  <c r="H11" i="22"/>
  <c r="S11" i="22" s="1"/>
  <c r="G11" i="22"/>
  <c r="R11" i="22" s="1"/>
  <c r="F11" i="22"/>
  <c r="Q11" i="22" s="1"/>
  <c r="E11" i="22"/>
  <c r="P11" i="22" s="1"/>
  <c r="D11" i="22"/>
  <c r="O11" i="22" s="1"/>
  <c r="L10" i="22"/>
  <c r="W10" i="22" s="1"/>
  <c r="K10" i="22"/>
  <c r="V10" i="22" s="1"/>
  <c r="J10" i="22"/>
  <c r="U10" i="22" s="1"/>
  <c r="I10" i="22"/>
  <c r="T10" i="22" s="1"/>
  <c r="H10" i="22"/>
  <c r="S10" i="22" s="1"/>
  <c r="G10" i="22"/>
  <c r="R10" i="22" s="1"/>
  <c r="F10" i="22"/>
  <c r="Q10" i="22" s="1"/>
  <c r="E10" i="22"/>
  <c r="P10" i="22" s="1"/>
  <c r="D10" i="22"/>
  <c r="O10" i="22" s="1"/>
  <c r="L9" i="22"/>
  <c r="W9" i="22" s="1"/>
  <c r="K9" i="22"/>
  <c r="V9" i="22" s="1"/>
  <c r="J9" i="22"/>
  <c r="U9" i="22" s="1"/>
  <c r="I9" i="22"/>
  <c r="T9" i="22" s="1"/>
  <c r="H9" i="22"/>
  <c r="S9" i="22" s="1"/>
  <c r="G9" i="22"/>
  <c r="R9" i="22" s="1"/>
  <c r="F9" i="22"/>
  <c r="Q9" i="22" s="1"/>
  <c r="E9" i="22"/>
  <c r="P9" i="22" s="1"/>
  <c r="D9" i="22"/>
  <c r="O9" i="22" s="1"/>
  <c r="L8" i="22"/>
  <c r="W8" i="22" s="1"/>
  <c r="K8" i="22"/>
  <c r="V8" i="22" s="1"/>
  <c r="J8" i="22"/>
  <c r="U8" i="22" s="1"/>
  <c r="I8" i="22"/>
  <c r="T8" i="22" s="1"/>
  <c r="H8" i="22"/>
  <c r="S8" i="22" s="1"/>
  <c r="G8" i="22"/>
  <c r="R8" i="22" s="1"/>
  <c r="F8" i="22"/>
  <c r="Q8" i="22" s="1"/>
  <c r="E8" i="22"/>
  <c r="P8" i="22" s="1"/>
  <c r="D8" i="22"/>
  <c r="O8" i="22" s="1"/>
  <c r="L7" i="22"/>
  <c r="W7" i="22" s="1"/>
  <c r="K7" i="22"/>
  <c r="V7" i="22" s="1"/>
  <c r="J7" i="22"/>
  <c r="U7" i="22" s="1"/>
  <c r="I7" i="22"/>
  <c r="T7" i="22" s="1"/>
  <c r="H7" i="22"/>
  <c r="S7" i="22" s="1"/>
  <c r="G7" i="22"/>
  <c r="R7" i="22" s="1"/>
  <c r="F7" i="22"/>
  <c r="Q7" i="22" s="1"/>
  <c r="E7" i="22"/>
  <c r="P7" i="22" s="1"/>
  <c r="D7" i="22"/>
  <c r="O7" i="22" s="1"/>
  <c r="L6" i="22"/>
  <c r="W6" i="22" s="1"/>
  <c r="K6" i="22"/>
  <c r="V6" i="22" s="1"/>
  <c r="J6" i="22"/>
  <c r="U6" i="22" s="1"/>
  <c r="I6" i="22"/>
  <c r="T6" i="22" s="1"/>
  <c r="H6" i="22"/>
  <c r="S6" i="22" s="1"/>
  <c r="G6" i="22"/>
  <c r="R6" i="22" s="1"/>
  <c r="F6" i="22"/>
  <c r="Q6" i="22" s="1"/>
  <c r="E6" i="22"/>
  <c r="P6" i="22" s="1"/>
  <c r="D6" i="22"/>
  <c r="O6" i="22" s="1"/>
  <c r="L5" i="22"/>
  <c r="W5" i="22" s="1"/>
  <c r="K5" i="22"/>
  <c r="V5" i="22" s="1"/>
  <c r="J5" i="22"/>
  <c r="U5" i="22" s="1"/>
  <c r="I5" i="22"/>
  <c r="T5" i="22" s="1"/>
  <c r="H5" i="22"/>
  <c r="S5" i="22" s="1"/>
  <c r="G5" i="22"/>
  <c r="R5" i="22" s="1"/>
  <c r="F5" i="22"/>
  <c r="Q5" i="22" s="1"/>
  <c r="E5" i="22"/>
  <c r="P5" i="22" s="1"/>
  <c r="D5" i="22"/>
  <c r="O5" i="22" s="1"/>
  <c r="L4" i="22"/>
  <c r="W4" i="22" s="1"/>
  <c r="K4" i="22"/>
  <c r="V4" i="22" s="1"/>
  <c r="J4" i="22"/>
  <c r="U4" i="22" s="1"/>
  <c r="I4" i="22"/>
  <c r="T4" i="22" s="1"/>
  <c r="H4" i="22"/>
  <c r="S4" i="22" s="1"/>
  <c r="G4" i="22"/>
  <c r="R4" i="22" s="1"/>
  <c r="F4" i="22"/>
  <c r="Q4" i="22" s="1"/>
  <c r="E4" i="22"/>
  <c r="P4" i="22" s="1"/>
  <c r="D4" i="22"/>
  <c r="O4" i="22" s="1"/>
  <c r="L3" i="22"/>
  <c r="W3" i="22" s="1"/>
  <c r="K3" i="22"/>
  <c r="V3" i="22" s="1"/>
  <c r="J3" i="22"/>
  <c r="U3" i="22" s="1"/>
  <c r="I3" i="22"/>
  <c r="T3" i="22" s="1"/>
  <c r="H3" i="22"/>
  <c r="S3" i="22" s="1"/>
  <c r="G3" i="22"/>
  <c r="R3" i="22" s="1"/>
  <c r="F3" i="22"/>
  <c r="Q3" i="22" s="1"/>
  <c r="E3" i="22"/>
  <c r="P3" i="22" s="1"/>
  <c r="D3" i="22"/>
  <c r="O3" i="22" s="1"/>
  <c r="AJ16" i="25"/>
  <c r="AJ17" i="25"/>
  <c r="AJ18" i="25"/>
  <c r="AJ19" i="25"/>
  <c r="AJ20" i="25"/>
  <c r="AJ21" i="25"/>
  <c r="AJ22" i="25"/>
  <c r="AJ23" i="25"/>
  <c r="AJ24" i="25"/>
  <c r="AJ25" i="25"/>
  <c r="AJ26" i="25"/>
  <c r="AJ27" i="25"/>
  <c r="AJ28" i="25"/>
  <c r="AJ29" i="25"/>
  <c r="AJ30" i="25"/>
  <c r="AJ31" i="25"/>
  <c r="AJ32" i="25"/>
  <c r="AJ33" i="25"/>
  <c r="AJ34" i="25"/>
  <c r="AJ35" i="25"/>
  <c r="AJ36" i="25"/>
  <c r="AJ37" i="25"/>
  <c r="AJ38" i="25"/>
  <c r="AJ39" i="25"/>
  <c r="AJ40" i="25"/>
  <c r="AJ41" i="25"/>
  <c r="AJ42" i="25"/>
  <c r="AJ43" i="25"/>
  <c r="AJ44" i="25"/>
  <c r="AJ45" i="25"/>
  <c r="AJ46" i="25"/>
  <c r="AJ47" i="25"/>
  <c r="AJ48" i="25"/>
  <c r="AJ49" i="25"/>
  <c r="M35" i="22" l="1"/>
  <c r="M36" i="22"/>
  <c r="M32" i="22" l="1"/>
  <c r="M28" i="22"/>
  <c r="M22" i="22"/>
  <c r="M18" i="22"/>
  <c r="M14" i="22"/>
  <c r="M10" i="22"/>
  <c r="M7" i="22"/>
  <c r="M5" i="22"/>
  <c r="M34" i="22"/>
  <c r="M30" i="22"/>
  <c r="M26" i="22"/>
  <c r="M24" i="22"/>
  <c r="M20" i="22"/>
  <c r="M16" i="22"/>
  <c r="M12" i="22"/>
  <c r="M33" i="22"/>
  <c r="M31" i="22"/>
  <c r="M29" i="22"/>
  <c r="M27" i="22"/>
  <c r="M25" i="22"/>
  <c r="M23" i="22"/>
  <c r="M21" i="22"/>
  <c r="M17" i="22"/>
  <c r="M15" i="22"/>
  <c r="M13" i="22"/>
  <c r="M11" i="22"/>
  <c r="M8" i="22"/>
  <c r="M6" i="22"/>
  <c r="M4" i="22"/>
  <c r="M19" i="22"/>
  <c r="M9" i="22"/>
  <c r="M3" i="2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Abiattar Fernando de Souza</author>
    <author>Edson Braz Junior</author>
    <author>Demetrio Campos Garcia</author>
    <author>Ednelson de Cassio Teixeira</author>
  </authors>
  <commentList>
    <comment ref="Y20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19:10 às 23:00</t>
        </r>
      </text>
    </comment>
    <comment ref="X21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Gabriela 01/11 B x Gouvêa 20/09 B</t>
        </r>
      </text>
    </comment>
    <comment ref="Y21" authorId="0" shapeId="0" xr:uid="{00000000-0006-0000-0000-000003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19:10 às 23:00</t>
        </r>
      </text>
    </comment>
    <comment ref="M24" authorId="0" shapeId="0" xr:uid="{00000000-0006-0000-0000-000004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Assis 26/09 B x Cibele 09/09 A</t>
        </r>
      </text>
    </comment>
    <comment ref="AD24" authorId="0" shapeId="0" xr:uid="{00000000-0006-0000-0000-000005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Assis 26/09 B x Cibele 09/09 A</t>
        </r>
      </text>
    </comment>
    <comment ref="N27" authorId="0" shapeId="0" xr:uid="{00000000-0006-0000-0000-000006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Deslocamento para dia 25/09/2016</t>
        </r>
      </text>
    </comment>
    <comment ref="F28" authorId="1" shapeId="0" xr:uid="{00000000-0006-0000-0000-000007000000}">
      <text>
        <r>
          <rPr>
            <b/>
            <sz val="9"/>
            <color indexed="81"/>
            <rFont val="Segoe UI"/>
            <family val="2"/>
          </rPr>
          <t>Edson Braz Junior:</t>
        </r>
        <r>
          <rPr>
            <sz val="9"/>
            <color indexed="81"/>
            <rFont val="Segoe UI"/>
            <family val="2"/>
          </rPr>
          <t xml:space="preserve">
não compareceu LM</t>
        </r>
      </text>
    </comment>
    <comment ref="U28" authorId="0" shapeId="0" xr:uid="{00000000-0006-0000-0000-000008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André 17/09 B x Débora 14/10 B</t>
        </r>
      </text>
    </comment>
    <comment ref="X30" authorId="0" shapeId="0" xr:uid="{00000000-0006-0000-0000-000009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Gabriela 01/11 B x Gouvêa 20/09 B</t>
        </r>
      </text>
    </comment>
    <comment ref="Y30" authorId="0" shapeId="0" xr:uid="{00000000-0006-0000-0000-00000A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Saída antecipada às 19h devido EPLIS</t>
        </r>
      </text>
    </comment>
    <comment ref="Y32" authorId="0" shapeId="0" xr:uid="{00000000-0006-0000-0000-00000B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Saída antecipada às 19h devido EPLIS
</t>
        </r>
      </text>
    </comment>
    <comment ref="P33" authorId="0" shapeId="0" xr:uid="{00000000-0006-0000-0000-00000C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Leandro 12/09 A x Juliana 16/09 A</t>
        </r>
      </text>
    </comment>
    <comment ref="T33" authorId="0" shapeId="0" xr:uid="{00000000-0006-0000-0000-00000D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Leandro 12/09 A x Juliana 16/09 A</t>
        </r>
      </text>
    </comment>
    <comment ref="V33" authorId="0" shapeId="0" xr:uid="{00000000-0006-0000-0000-00000E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Leandro 1809A x Juliana 2509 C</t>
        </r>
      </text>
    </comment>
    <comment ref="AC33" authorId="0" shapeId="0" xr:uid="{00000000-0006-0000-0000-00000F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Leandro 1809A x Juliana 2509 C</t>
        </r>
      </text>
    </comment>
    <comment ref="AD33" authorId="0" shapeId="0" xr:uid="{00000000-0006-0000-0000-000010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Juliana 26/09 C x André 26/09 B</t>
        </r>
      </text>
    </comment>
    <comment ref="AE33" authorId="0" shapeId="0" xr:uid="{00000000-0006-0000-0000-000011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Juliana 29/09 A x André 27/09 B</t>
        </r>
      </text>
    </comment>
    <comment ref="AG33" authorId="0" shapeId="0" xr:uid="{00000000-0006-0000-0000-000012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Juliana 29/09 A x André 27/09 B</t>
        </r>
      </text>
    </comment>
    <comment ref="K34" authorId="2" shapeId="0" xr:uid="{00000000-0006-0000-0000-000013000000}">
      <text>
        <r>
          <rPr>
            <b/>
            <sz val="9"/>
            <color indexed="81"/>
            <rFont val="Segoe UI"/>
            <family val="2"/>
          </rPr>
          <t>Demetrio Campos Garcia:</t>
        </r>
        <r>
          <rPr>
            <sz val="9"/>
            <color indexed="81"/>
            <rFont val="Segoe UI"/>
            <family val="2"/>
          </rPr>
          <t xml:space="preserve">
A partir das 17hs</t>
        </r>
      </text>
    </comment>
    <comment ref="AB34" authorId="0" shapeId="0" xr:uid="{00000000-0006-0000-0000-000014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Roberta 24/09 C x Vanessa 23/09 C</t>
        </r>
      </text>
    </comment>
    <comment ref="M36" authorId="0" shapeId="0" xr:uid="{00000000-0006-0000-0000-000015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Assis 26/09 B x Cibele 09/09 A</t>
        </r>
      </text>
    </comment>
    <comment ref="AC36" authorId="0" shapeId="0" xr:uid="{00000000-0006-0000-0000-000016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Assis 25/09 B x Célia 09/10 B</t>
        </r>
      </text>
    </comment>
    <comment ref="AD36" authorId="0" shapeId="0" xr:uid="{00000000-0006-0000-0000-000017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Assis 26/09 B x Cibele 09/09 A</t>
        </r>
      </text>
    </comment>
    <comment ref="N40" authorId="0" shapeId="0" xr:uid="{00000000-0006-0000-0000-000018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André 10/09 B x Ingrid 24/09 B</t>
        </r>
      </text>
    </comment>
    <comment ref="U40" authorId="0" shapeId="0" xr:uid="{00000000-0006-0000-0000-000019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André 17/09 B x Débora 14/10 B</t>
        </r>
      </text>
    </comment>
    <comment ref="AB40" authorId="0" shapeId="0" xr:uid="{00000000-0006-0000-0000-00001A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André 10/09 B x Ingrid 24/09 B</t>
        </r>
      </text>
    </comment>
    <comment ref="AD40" authorId="0" shapeId="0" xr:uid="{00000000-0006-0000-0000-00001B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Juliana 26/09 C x André 26/09 B</t>
        </r>
      </text>
    </comment>
    <comment ref="AE40" authorId="0" shapeId="0" xr:uid="{00000000-0006-0000-0000-00001C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Juliana 29/09 A x André 27/09 B</t>
        </r>
      </text>
    </comment>
    <comment ref="AG40" authorId="0" shapeId="0" xr:uid="{00000000-0006-0000-0000-00001D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Juliana 29/09 A x André 27/09 B</t>
        </r>
      </text>
    </comment>
    <comment ref="AG43" authorId="3" shapeId="0" xr:uid="{00000000-0006-0000-0000-00001E000000}">
      <text>
        <r>
          <rPr>
            <b/>
            <sz val="9"/>
            <color indexed="81"/>
            <rFont val="Segoe UI"/>
            <family val="2"/>
          </rPr>
          <t>Ednelson de Cassio Teixeira:</t>
        </r>
        <r>
          <rPr>
            <sz val="9"/>
            <color indexed="81"/>
            <rFont val="Segoe UI"/>
            <family val="2"/>
          </rPr>
          <t xml:space="preserve">
SOLICITOU FF. AGUARDANDO AUTORIZAÇÃO DA TAKP-1</t>
        </r>
      </text>
    </comment>
    <comment ref="N44" authorId="0" shapeId="0" xr:uid="{00000000-0006-0000-0000-00001F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André 10/09 B x Ingrid 24/09 B</t>
        </r>
      </text>
    </comment>
    <comment ref="AB44" authorId="0" shapeId="0" xr:uid="{00000000-0006-0000-0000-000020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André 10/09 B x Ingrid 24/09 B</t>
        </r>
      </text>
    </comment>
    <comment ref="AC45" authorId="0" shapeId="0" xr:uid="{00000000-0006-0000-0000-000021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Assis 25/09 B x Célia 09/10 B</t>
        </r>
      </text>
    </comment>
    <comment ref="P46" authorId="0" shapeId="0" xr:uid="{00000000-0006-0000-0000-000022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Leandro 12/09 A x Juliana 16/09 A</t>
        </r>
      </text>
    </comment>
    <comment ref="T46" authorId="0" shapeId="0" xr:uid="{00000000-0006-0000-0000-000023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Leandro 12/09 A x Juliana 16/09 A</t>
        </r>
      </text>
    </comment>
    <comment ref="V46" authorId="0" shapeId="0" xr:uid="{00000000-0006-0000-0000-000024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Leandro 1809A x Juliana 2509 C</t>
        </r>
      </text>
    </comment>
    <comment ref="AC46" authorId="0" shapeId="0" xr:uid="{00000000-0006-0000-0000-000025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Leandro 1809A x Juliana 2509 C</t>
        </r>
      </text>
    </comment>
    <comment ref="AA47" authorId="0" shapeId="0" xr:uid="{00000000-0006-0000-0000-000026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Roberta 24/09 C x Vanessa 23/09 C</t>
        </r>
      </text>
    </comment>
    <comment ref="AB47" authorId="0" shapeId="0" xr:uid="{00000000-0006-0000-0000-000027000000}">
      <text>
        <r>
          <rPr>
            <b/>
            <sz val="9"/>
            <color indexed="81"/>
            <rFont val="Segoe UI"/>
            <family val="2"/>
          </rPr>
          <t>Abiattar Fernando de Souza:</t>
        </r>
        <r>
          <rPr>
            <sz val="9"/>
            <color indexed="81"/>
            <rFont val="Segoe UI"/>
            <family val="2"/>
          </rPr>
          <t xml:space="preserve">
Roberta 24/09 C x Vanessa 23/09 C</t>
        </r>
      </text>
    </comment>
  </commentList>
</comments>
</file>

<file path=xl/sharedStrings.xml><?xml version="1.0" encoding="utf-8"?>
<sst xmlns="http://schemas.openxmlformats.org/spreadsheetml/2006/main" count="1721" uniqueCount="529">
  <si>
    <t>B</t>
  </si>
  <si>
    <t>A</t>
  </si>
  <si>
    <t>C</t>
  </si>
  <si>
    <t>VS</t>
  </si>
  <si>
    <t>NOME</t>
  </si>
  <si>
    <t>MATRÍCULA</t>
  </si>
  <si>
    <t>SEG</t>
  </si>
  <si>
    <t>TER</t>
  </si>
  <si>
    <t>QUI</t>
  </si>
  <si>
    <t>SEX</t>
  </si>
  <si>
    <t>QUA</t>
  </si>
  <si>
    <t>DOM</t>
  </si>
  <si>
    <t>TWR</t>
  </si>
  <si>
    <t>FT</t>
  </si>
  <si>
    <t>SBKP</t>
  </si>
  <si>
    <t>FF</t>
  </si>
  <si>
    <t>F</t>
  </si>
  <si>
    <t>ADM</t>
  </si>
  <si>
    <t>CS</t>
  </si>
  <si>
    <t>X</t>
  </si>
  <si>
    <t>E</t>
  </si>
  <si>
    <t>TAKP</t>
  </si>
  <si>
    <t xml:space="preserve">Janeiro </t>
  </si>
  <si>
    <t>SBGL</t>
  </si>
  <si>
    <t>TAGL</t>
  </si>
  <si>
    <t xml:space="preserve">Turno 'A' - </t>
  </si>
  <si>
    <t>da 00</t>
  </si>
  <si>
    <t>à 00</t>
  </si>
  <si>
    <t>:00</t>
  </si>
  <si>
    <t>Turno 'A' - Intervalo de</t>
  </si>
  <si>
    <t>00h</t>
  </si>
  <si>
    <t>00min.</t>
  </si>
  <si>
    <t>00seg.</t>
  </si>
  <si>
    <t>a ser gozado, preferencialmente, entre 00:00 e</t>
  </si>
  <si>
    <t>00:00</t>
  </si>
  <si>
    <t xml:space="preserve">Fevereiro </t>
  </si>
  <si>
    <t>SBGR</t>
  </si>
  <si>
    <t>TAGR</t>
  </si>
  <si>
    <t>TAGL-1</t>
  </si>
  <si>
    <t xml:space="preserve">Turno 'B' - </t>
  </si>
  <si>
    <t>da 01</t>
  </si>
  <si>
    <t>à 01</t>
  </si>
  <si>
    <t>:05</t>
  </si>
  <si>
    <t>Turno 'B' - Intervalo de</t>
  </si>
  <si>
    <t>01h</t>
  </si>
  <si>
    <t>07min.</t>
  </si>
  <si>
    <t>30seg.</t>
  </si>
  <si>
    <t>a ser gozado, preferencialmente, entre 01:00 e</t>
  </si>
  <si>
    <t>01:00</t>
  </si>
  <si>
    <t>A1</t>
  </si>
  <si>
    <t xml:space="preserve">Março </t>
  </si>
  <si>
    <t>SBJR</t>
  </si>
  <si>
    <t>TAJR</t>
  </si>
  <si>
    <t>TAGL-2</t>
  </si>
  <si>
    <t xml:space="preserve">Turno 'C' - </t>
  </si>
  <si>
    <t>das 02</t>
  </si>
  <si>
    <t>às 02</t>
  </si>
  <si>
    <t>:10</t>
  </si>
  <si>
    <t>Turno 'C' - Intervalo de</t>
  </si>
  <si>
    <t>02h</t>
  </si>
  <si>
    <t>15min.</t>
  </si>
  <si>
    <t>a ser gozado, preferencialmente, entre 02:00 e</t>
  </si>
  <si>
    <t>02:00</t>
  </si>
  <si>
    <t>A2</t>
  </si>
  <si>
    <t xml:space="preserve">Abril </t>
  </si>
  <si>
    <t xml:space="preserve">Turno 'D' - </t>
  </si>
  <si>
    <t>das 03</t>
  </si>
  <si>
    <t>às 03</t>
  </si>
  <si>
    <t>:15</t>
  </si>
  <si>
    <t>Turno 'D' - Intervalo de</t>
  </si>
  <si>
    <t>22min</t>
  </si>
  <si>
    <t>a ser gozado, preferencialmente, entre 03:00 e</t>
  </si>
  <si>
    <t>03:00</t>
  </si>
  <si>
    <t>A3</t>
  </si>
  <si>
    <t>D</t>
  </si>
  <si>
    <t>Maio</t>
  </si>
  <si>
    <t>SBRJ</t>
  </si>
  <si>
    <t>TARJ</t>
  </si>
  <si>
    <t>TAGL-4</t>
  </si>
  <si>
    <t xml:space="preserve">Turno 'E' - </t>
  </si>
  <si>
    <t>das 04</t>
  </si>
  <si>
    <t>às 04</t>
  </si>
  <si>
    <t>:20</t>
  </si>
  <si>
    <t>CMA-1</t>
  </si>
  <si>
    <t>Turno 'E' - Intervalo de</t>
  </si>
  <si>
    <t>30min.</t>
  </si>
  <si>
    <t>a ser gozado, preferencialmente, entre 04:00 e</t>
  </si>
  <si>
    <t>04:00</t>
  </si>
  <si>
    <t>A4</t>
  </si>
  <si>
    <t xml:space="preserve">Junho </t>
  </si>
  <si>
    <t xml:space="preserve">Turno 'F' - </t>
  </si>
  <si>
    <t>das 05</t>
  </si>
  <si>
    <t>às 05</t>
  </si>
  <si>
    <t>:25</t>
  </si>
  <si>
    <t>Turno 'F' - Intervalo de</t>
  </si>
  <si>
    <t>37min.</t>
  </si>
  <si>
    <t>a ser gozado, preferencialmente, entre 05:00 e</t>
  </si>
  <si>
    <t>05:00</t>
  </si>
  <si>
    <t>A5</t>
  </si>
  <si>
    <t>Julho</t>
  </si>
  <si>
    <t>TAGR-1</t>
  </si>
  <si>
    <t xml:space="preserve">Turno '@' - </t>
  </si>
  <si>
    <t>das 06</t>
  </si>
  <si>
    <t>às 06</t>
  </si>
  <si>
    <t>:30</t>
  </si>
  <si>
    <t>CMA-1/EMS-1</t>
  </si>
  <si>
    <t>Turno '@' - Intervalo de</t>
  </si>
  <si>
    <t>45min.</t>
  </si>
  <si>
    <t>a ser gozado, preferencialmente, entre 06:00 e</t>
  </si>
  <si>
    <t>06:00</t>
  </si>
  <si>
    <t>A6</t>
  </si>
  <si>
    <t xml:space="preserve">Agosto </t>
  </si>
  <si>
    <t>TAGR-2</t>
  </si>
  <si>
    <t>das 07</t>
  </si>
  <si>
    <t>às 07</t>
  </si>
  <si>
    <t>:35</t>
  </si>
  <si>
    <t>52min.</t>
  </si>
  <si>
    <t>a ser gozado, preferencialmente, entre 07:00 e</t>
  </si>
  <si>
    <t>07:00</t>
  </si>
  <si>
    <t>A7</t>
  </si>
  <si>
    <t>Setembro</t>
  </si>
  <si>
    <t>TAGR-3</t>
  </si>
  <si>
    <t>das 08</t>
  </si>
  <si>
    <t>às 08</t>
  </si>
  <si>
    <t>:40</t>
  </si>
  <si>
    <t>a ser gozado, preferencialmente, entre 08:00 e</t>
  </si>
  <si>
    <t>08:00</t>
  </si>
  <si>
    <t>A8</t>
  </si>
  <si>
    <t>Outubro</t>
  </si>
  <si>
    <t>das 09</t>
  </si>
  <si>
    <t>às 09</t>
  </si>
  <si>
    <t>:45</t>
  </si>
  <si>
    <t>CMA-2/EMS-1</t>
  </si>
  <si>
    <t>a ser gozado, preferencialmente, entre 09:00 e</t>
  </si>
  <si>
    <t>09:00</t>
  </si>
  <si>
    <t>Novembro</t>
  </si>
  <si>
    <t>das 10</t>
  </si>
  <si>
    <t>às 10</t>
  </si>
  <si>
    <t>:50</t>
  </si>
  <si>
    <t>CMA-2/EMS-2</t>
  </si>
  <si>
    <t>a ser gozado, preferencialmente, entre 10:00 e</t>
  </si>
  <si>
    <t>10:00</t>
  </si>
  <si>
    <t>Dezembro</t>
  </si>
  <si>
    <t>das 11</t>
  </si>
  <si>
    <t>às 11</t>
  </si>
  <si>
    <t>:55</t>
  </si>
  <si>
    <t>a ser gozado, preferencialmente, entre 11:00 e</t>
  </si>
  <si>
    <t>11:00</t>
  </si>
  <si>
    <t>TAJR-1</t>
  </si>
  <si>
    <t>das 12</t>
  </si>
  <si>
    <t>às 12</t>
  </si>
  <si>
    <t>a ser gozado, preferencialmente, entre 12:00 e</t>
  </si>
  <si>
    <t>12:00</t>
  </si>
  <si>
    <t>TAJR-2</t>
  </si>
  <si>
    <t>das 13</t>
  </si>
  <si>
    <t>às 13</t>
  </si>
  <si>
    <t>a ser gozado, preferencialmente, entre 13:00 e</t>
  </si>
  <si>
    <t>13:00</t>
  </si>
  <si>
    <t>das 14</t>
  </si>
  <si>
    <t>às 14</t>
  </si>
  <si>
    <t>a ser gozado, preferencialmente, entre 14:00 e</t>
  </si>
  <si>
    <t>14:00</t>
  </si>
  <si>
    <t>B1</t>
  </si>
  <si>
    <t>das 15</t>
  </si>
  <si>
    <t>às 15</t>
  </si>
  <si>
    <t>a ser gozado, preferencialmente, entre 15:00 e</t>
  </si>
  <si>
    <t>15:00</t>
  </si>
  <si>
    <t>B2</t>
  </si>
  <si>
    <t>TAKP-1</t>
  </si>
  <si>
    <t>das 16</t>
  </si>
  <si>
    <t>às 16</t>
  </si>
  <si>
    <t>a ser gozado, preferencialmente, entre 16:00 e</t>
  </si>
  <si>
    <t>16:00</t>
  </si>
  <si>
    <t>B3</t>
  </si>
  <si>
    <t>TAKP-2</t>
  </si>
  <si>
    <t>das 17</t>
  </si>
  <si>
    <t>às 17</t>
  </si>
  <si>
    <t>a ser gozado, preferencialmente, entre 17:00 e</t>
  </si>
  <si>
    <t>17:00</t>
  </si>
  <si>
    <t>B4</t>
  </si>
  <si>
    <t>TAKP-3</t>
  </si>
  <si>
    <t>das 18</t>
  </si>
  <si>
    <t>às 18</t>
  </si>
  <si>
    <t>a ser gozado, preferencialmente, entre 18:00 e</t>
  </si>
  <si>
    <t>18:00</t>
  </si>
  <si>
    <t>B5</t>
  </si>
  <si>
    <t>das 19</t>
  </si>
  <si>
    <t>às 19</t>
  </si>
  <si>
    <t>a ser gozado, preferencialmente, entre 19:00 e</t>
  </si>
  <si>
    <t>19:00</t>
  </si>
  <si>
    <t>B6</t>
  </si>
  <si>
    <t>das 20</t>
  </si>
  <si>
    <t>às 20</t>
  </si>
  <si>
    <t>a ser gozado, preferencialmente, entre 20:00 e</t>
  </si>
  <si>
    <t>20:00</t>
  </si>
  <si>
    <t>B7</t>
  </si>
  <si>
    <t>das 21</t>
  </si>
  <si>
    <t>às 21</t>
  </si>
  <si>
    <t>a ser gozado, preferencialmente, entre 21:00 e</t>
  </si>
  <si>
    <t>21:00</t>
  </si>
  <si>
    <t>B8</t>
  </si>
  <si>
    <t>TARJ-1</t>
  </si>
  <si>
    <t>das 22</t>
  </si>
  <si>
    <t>às 22</t>
  </si>
  <si>
    <t>a ser gozado, preferencialmente, entre 22:00 e</t>
  </si>
  <si>
    <t>22:00</t>
  </si>
  <si>
    <t>TARJ-2</t>
  </si>
  <si>
    <t>das 23</t>
  </si>
  <si>
    <t>às 23</t>
  </si>
  <si>
    <t>a ser gozado, preferencialmente, entre 23:00 e</t>
  </si>
  <si>
    <t>23:00</t>
  </si>
  <si>
    <t>TARJ-3</t>
  </si>
  <si>
    <t>das 24</t>
  </si>
  <si>
    <t>às 24</t>
  </si>
  <si>
    <t>SALA AIS</t>
  </si>
  <si>
    <t>C1</t>
  </si>
  <si>
    <t>C2</t>
  </si>
  <si>
    <t>C3</t>
  </si>
  <si>
    <t>C4</t>
  </si>
  <si>
    <t>C5</t>
  </si>
  <si>
    <t>C6</t>
  </si>
  <si>
    <t>C7</t>
  </si>
  <si>
    <t>C8</t>
  </si>
  <si>
    <t>D1</t>
  </si>
  <si>
    <t>D2</t>
  </si>
  <si>
    <t>D3</t>
  </si>
  <si>
    <t>D4</t>
  </si>
  <si>
    <t>D5</t>
  </si>
  <si>
    <t>D6</t>
  </si>
  <si>
    <t>D7</t>
  </si>
  <si>
    <t>D8</t>
  </si>
  <si>
    <t>E1</t>
  </si>
  <si>
    <t>E2</t>
  </si>
  <si>
    <t>E3</t>
  </si>
  <si>
    <t>E4</t>
  </si>
  <si>
    <t>E5</t>
  </si>
  <si>
    <t>E6</t>
  </si>
  <si>
    <t>E7</t>
  </si>
  <si>
    <t>E8</t>
  </si>
  <si>
    <t>F1</t>
  </si>
  <si>
    <t>F2</t>
  </si>
  <si>
    <t>F3</t>
  </si>
  <si>
    <t>F4</t>
  </si>
  <si>
    <t>F5</t>
  </si>
  <si>
    <t>F6</t>
  </si>
  <si>
    <t>F7</t>
  </si>
  <si>
    <t>F8</t>
  </si>
  <si>
    <t>G</t>
  </si>
  <si>
    <t>G1</t>
  </si>
  <si>
    <t>G2</t>
  </si>
  <si>
    <t>G3</t>
  </si>
  <si>
    <t>G4</t>
  </si>
  <si>
    <t>G5</t>
  </si>
  <si>
    <t>G6</t>
  </si>
  <si>
    <t>G7</t>
  </si>
  <si>
    <t>G8</t>
  </si>
  <si>
    <t>H</t>
  </si>
  <si>
    <t>H1</t>
  </si>
  <si>
    <t>H2</t>
  </si>
  <si>
    <t>H3</t>
  </si>
  <si>
    <t>H4</t>
  </si>
  <si>
    <t>H5</t>
  </si>
  <si>
    <t>H6</t>
  </si>
  <si>
    <t>H7</t>
  </si>
  <si>
    <t>H8</t>
  </si>
  <si>
    <t>LM</t>
  </si>
  <si>
    <t>SAB</t>
  </si>
  <si>
    <t>Centro Nacional de Administração do SGTAI</t>
  </si>
  <si>
    <t>N.º</t>
  </si>
  <si>
    <t>Escala de Serviço - Prevista</t>
  </si>
  <si>
    <t>Escala de Serviço - Cumprida</t>
  </si>
  <si>
    <t>ADM. DE REDE DO SGTAI</t>
  </si>
  <si>
    <t>CONTROLE DE TRÁFEGO AÉREO</t>
  </si>
  <si>
    <t>INFORMAÇÕES AERONÁUTICAS</t>
  </si>
  <si>
    <t>METEOROLOGIA AERONÁUTICA</t>
  </si>
  <si>
    <t>xxh</t>
  </si>
  <si>
    <t>xxmin.</t>
  </si>
  <si>
    <t>xxseg.</t>
  </si>
  <si>
    <t>FR</t>
  </si>
  <si>
    <t>FA</t>
  </si>
  <si>
    <t xml:space="preserve">F  </t>
  </si>
  <si>
    <t xml:space="preserve">X  </t>
  </si>
  <si>
    <t xml:space="preserve">$  </t>
  </si>
  <si>
    <t>I</t>
  </si>
  <si>
    <t>I1</t>
  </si>
  <si>
    <t>I2</t>
  </si>
  <si>
    <t>I3</t>
  </si>
  <si>
    <t>I4</t>
  </si>
  <si>
    <t>I5</t>
  </si>
  <si>
    <t>I6</t>
  </si>
  <si>
    <t>I7</t>
  </si>
  <si>
    <t>I8</t>
  </si>
  <si>
    <t>J</t>
  </si>
  <si>
    <t>J1</t>
  </si>
  <si>
    <t>J2</t>
  </si>
  <si>
    <t>J3</t>
  </si>
  <si>
    <t>J4</t>
  </si>
  <si>
    <t>J5</t>
  </si>
  <si>
    <t>J6</t>
  </si>
  <si>
    <t>J7</t>
  </si>
  <si>
    <t>J8</t>
  </si>
  <si>
    <t>K</t>
  </si>
  <si>
    <t>K1</t>
  </si>
  <si>
    <t>K2</t>
  </si>
  <si>
    <t>K3</t>
  </si>
  <si>
    <t>K4</t>
  </si>
  <si>
    <t>K5</t>
  </si>
  <si>
    <t>K6</t>
  </si>
  <si>
    <t>K7</t>
  </si>
  <si>
    <t>K8</t>
  </si>
  <si>
    <t>L</t>
  </si>
  <si>
    <t>L1</t>
  </si>
  <si>
    <t>L2</t>
  </si>
  <si>
    <t>L3</t>
  </si>
  <si>
    <t>L4</t>
  </si>
  <si>
    <t>L5</t>
  </si>
  <si>
    <t>L6</t>
  </si>
  <si>
    <t>L7</t>
  </si>
  <si>
    <t>L8</t>
  </si>
  <si>
    <t>Coordenação de Meteorologia Aeronáutica da EPTA SBKP</t>
  </si>
  <si>
    <t>Coordenação de Tráfego Aéreo da EPTA SBKP</t>
  </si>
  <si>
    <t>Coordenação de Meteorologia Aeronáutica da EPTA SBGL</t>
  </si>
  <si>
    <t>Coordenação do SGTAI da EPTA SBGL</t>
  </si>
  <si>
    <t>Coordenação de Meteorologia Aeronáutica da EPTA SBGR</t>
  </si>
  <si>
    <t>Coordenação de Tráfego Aéreo da EPTA SBGR</t>
  </si>
  <si>
    <t>Coordenação de Tráfego Aéreo da EPTA SBJR</t>
  </si>
  <si>
    <t>Coordenação de Meteorologia Aeronáutica da EPTA SBRJ</t>
  </si>
  <si>
    <t>Coordenação de Tráfego Aéreo da EPTA SBRJ</t>
  </si>
  <si>
    <t>CMA-2</t>
  </si>
  <si>
    <t>EMS-1</t>
  </si>
  <si>
    <t>EMS-2</t>
  </si>
  <si>
    <t>Gerência da EPTA SBKP</t>
  </si>
  <si>
    <t>Gerência da EPTA SBGL</t>
  </si>
  <si>
    <t>Gerência da EPTA SBGR</t>
  </si>
  <si>
    <t>Gerência da EPTA SBJR</t>
  </si>
  <si>
    <t>Gerência da EPTA SBRJ</t>
  </si>
  <si>
    <t>Coordenação de Informações Aeronáuticas da EPTA SBGL</t>
  </si>
  <si>
    <t>Coordenação de Telecomunicações e Informações Aeronáuticas da EPTA SBGR</t>
  </si>
  <si>
    <t>Coordenação de Meteorologia e Informações Aeronáuticas da EPTA SBJR</t>
  </si>
  <si>
    <t>Coordenação de Telecomunicações e Informações Aeronáuticas da EPTA SBKP</t>
  </si>
  <si>
    <t>Coordenação de Telecomunicações e Informações Aeronáuticas da EPTA SBRJ</t>
  </si>
  <si>
    <t>O</t>
  </si>
  <si>
    <t>96.362-80</t>
  </si>
  <si>
    <t>98.851-55</t>
  </si>
  <si>
    <t>41.625-30</t>
  </si>
  <si>
    <t>47.445-02</t>
  </si>
  <si>
    <t>11.980-28</t>
  </si>
  <si>
    <t>GABRIELA RODRIGUES DA CUNHA COSTA</t>
  </si>
  <si>
    <t>18.522-23</t>
  </si>
  <si>
    <t>98.005-94</t>
  </si>
  <si>
    <t>16.620-33</t>
  </si>
  <si>
    <t>47.439-96</t>
  </si>
  <si>
    <t>96.993-45</t>
  </si>
  <si>
    <t>GEDILSON TEIXEIRA LIMA</t>
  </si>
  <si>
    <t>17.042-42</t>
  </si>
  <si>
    <t>DÉBORA GUEDES PINTO</t>
  </si>
  <si>
    <t>13.848-18</t>
  </si>
  <si>
    <t>99.628-53</t>
  </si>
  <si>
    <t>98.948-40</t>
  </si>
  <si>
    <t>13.707-36</t>
  </si>
  <si>
    <t>ÁTILA POHL GUIMARÃES</t>
  </si>
  <si>
    <t>13.857-17</t>
  </si>
  <si>
    <t>16.327-31</t>
  </si>
  <si>
    <t>47.182-08</t>
  </si>
  <si>
    <t>95.360-89</t>
  </si>
  <si>
    <t>VANESSA DA FONSECA</t>
  </si>
  <si>
    <t>13.296-31</t>
  </si>
  <si>
    <t>PAULO MARINS NETO</t>
  </si>
  <si>
    <t>17.001-56</t>
  </si>
  <si>
    <t>RENATA ZOTINE NEHME</t>
  </si>
  <si>
    <t>18.135-30</t>
  </si>
  <si>
    <t>18.521-25</t>
  </si>
  <si>
    <t>47.214-21</t>
  </si>
  <si>
    <t>47.244-12</t>
  </si>
  <si>
    <t xml:space="preserve">LUIZ FERNANDO FRANZIN </t>
  </si>
  <si>
    <t>41.099-25</t>
  </si>
  <si>
    <t>41.323-46</t>
  </si>
  <si>
    <t>13.358-35</t>
  </si>
  <si>
    <t xml:space="preserve">LEANDRO KLAVA DOS REIS </t>
  </si>
  <si>
    <t>18.519-12</t>
  </si>
  <si>
    <t>13.281-44</t>
  </si>
  <si>
    <t>ABIATTAR FERNANDO DE SOUZA</t>
  </si>
  <si>
    <t>Coordenador de Tráfego Aéreo da EPTA Viracopos/Campinas</t>
  </si>
  <si>
    <t>PAULA VALÉRIA DE SOUZA MARQUES</t>
  </si>
  <si>
    <t xml:space="preserve">11.839-29 </t>
  </si>
  <si>
    <t>CELIA MIE ABE SIGNORELLI</t>
  </si>
  <si>
    <t>ter</t>
  </si>
  <si>
    <t>qua</t>
  </si>
  <si>
    <t>qui</t>
  </si>
  <si>
    <t>sex</t>
  </si>
  <si>
    <t>sáb</t>
  </si>
  <si>
    <t>dom</t>
  </si>
  <si>
    <t>seg</t>
  </si>
  <si>
    <t>Carga
Horária</t>
  </si>
  <si>
    <t>ROBERTA ORTMAN CHARALLO</t>
  </si>
  <si>
    <t>ALEXANDRE AUGUSTO FERRO COSTA</t>
  </si>
  <si>
    <t>17.572-13</t>
  </si>
  <si>
    <t>18.197-08</t>
  </si>
  <si>
    <t>SÉRGIO MOTA DA SILVA</t>
  </si>
  <si>
    <t>HENRIQUE MANOEL RIBEIRO RIOS</t>
  </si>
  <si>
    <t>HEA</t>
  </si>
  <si>
    <t>HEB</t>
  </si>
  <si>
    <t>98.015-91</t>
  </si>
  <si>
    <t>EDSON BRAZ JÚNIOR</t>
  </si>
  <si>
    <t>MIGUEL ANGELO MEDURI</t>
  </si>
  <si>
    <t>CIBELE BURATO MENDES</t>
  </si>
  <si>
    <t>DEMETRIO CAMPOS GARCIA</t>
  </si>
  <si>
    <t>LUIZ CLAUDIO RAMOS GOUVEA</t>
  </si>
  <si>
    <t>RAFAEL GOMES LISBOA</t>
  </si>
  <si>
    <t>ANDRÉ AUGUSTO CHINAGLIA DE FREITAS</t>
  </si>
  <si>
    <t>EDNELSON DE CÁSSIO TEIXEIRA</t>
  </si>
  <si>
    <t>OTAVIO AUGUSTO DE AVILA MIRANDA</t>
  </si>
  <si>
    <t>JULIANA  ZUIANI KAVAMURA TOBIAS</t>
  </si>
  <si>
    <t>PAULO RIBEIRO DE ALBUQUERQUE UCHOA</t>
  </si>
  <si>
    <t>RICARDO FERREIRA ADOLPHSSON DA SILVA</t>
  </si>
  <si>
    <r>
      <rPr>
        <sz val="18"/>
        <color rgb="FFFF0000"/>
        <rFont val="Tahoma"/>
        <family val="2"/>
      </rPr>
      <t>HE</t>
    </r>
    <r>
      <rPr>
        <sz val="18"/>
        <color theme="1"/>
        <rFont val="Tahoma"/>
        <family val="2"/>
      </rPr>
      <t>/C</t>
    </r>
  </si>
  <si>
    <t>WAGNER MORENO DA SILVA</t>
  </si>
  <si>
    <t>LUCIA HELENA RODRIGUES DA CUNHA</t>
  </si>
  <si>
    <t>LUIZ GUSTAVO MONTEIRO DA SILVA</t>
  </si>
  <si>
    <t>FRANCISCO D. DE ASSIS SANTOS (ES)</t>
  </si>
  <si>
    <t xml:space="preserve">VALDIR ELISEU PERIPOLLI </t>
  </si>
  <si>
    <t>ABIATTAR FERNANDO DE SOUZA (TAKP-1)</t>
  </si>
  <si>
    <t>DANIEL RODRIGUES PIRES BEZERRA</t>
  </si>
  <si>
    <t>Gerente da EPTA Viracopos/Campinas</t>
  </si>
  <si>
    <t>HASP</t>
  </si>
  <si>
    <t>INGRID TORSANI FINI SARAIVA OLIVEIRA</t>
  </si>
  <si>
    <r>
      <rPr>
        <sz val="18"/>
        <color rgb="FFFF0000"/>
        <rFont val="Tahoma"/>
        <family val="2"/>
      </rPr>
      <t>HE</t>
    </r>
    <r>
      <rPr>
        <sz val="18"/>
        <color theme="1"/>
        <rFont val="Tahoma"/>
        <family val="2"/>
      </rPr>
      <t>/B</t>
    </r>
  </si>
  <si>
    <r>
      <t>C/</t>
    </r>
    <r>
      <rPr>
        <sz val="18"/>
        <color rgb="FFFF0000"/>
        <rFont val="Tahoma"/>
        <family val="2"/>
      </rPr>
      <t>HE</t>
    </r>
  </si>
  <si>
    <t>HEC</t>
  </si>
  <si>
    <t>HE/C</t>
  </si>
  <si>
    <t>HE/A</t>
  </si>
  <si>
    <t>HE/B</t>
  </si>
  <si>
    <t>7 as 15</t>
  </si>
  <si>
    <t>15 as 23</t>
  </si>
  <si>
    <t>23 as 7</t>
  </si>
  <si>
    <t>3 as 7</t>
  </si>
  <si>
    <t>11 as 15</t>
  </si>
  <si>
    <t>19 as 23</t>
  </si>
  <si>
    <t>A/HE</t>
  </si>
  <si>
    <t>B/HE</t>
  </si>
  <si>
    <t>C/HE</t>
  </si>
  <si>
    <t>15 as 19</t>
  </si>
  <si>
    <t>23 as 3</t>
  </si>
  <si>
    <t>7 as 11</t>
  </si>
  <si>
    <t>Nome</t>
  </si>
  <si>
    <t>Matrícula</t>
  </si>
  <si>
    <t>Lotação</t>
  </si>
  <si>
    <t>Horário (1)</t>
  </si>
  <si>
    <t>Horário (2)</t>
  </si>
  <si>
    <r>
      <t>A/</t>
    </r>
    <r>
      <rPr>
        <sz val="18"/>
        <color rgb="FFFF0000"/>
        <rFont val="Tahoma"/>
        <family val="2"/>
      </rPr>
      <t>HE</t>
    </r>
  </si>
  <si>
    <t>Outro</t>
  </si>
  <si>
    <t>Folga Recesso</t>
  </si>
  <si>
    <t xml:space="preserve">    </t>
  </si>
  <si>
    <t xml:space="preserve"> </t>
  </si>
  <si>
    <t>Licença Médica</t>
  </si>
  <si>
    <t>Folga Feriado</t>
  </si>
  <si>
    <t>Órgão</t>
  </si>
  <si>
    <t>Curso Externo - Interno</t>
  </si>
  <si>
    <t>Falta</t>
  </si>
  <si>
    <t>Atividade:</t>
  </si>
  <si>
    <t>Horário Administrativo</t>
  </si>
  <si>
    <t>Férias</t>
  </si>
  <si>
    <t>Seção / Setor:</t>
  </si>
  <si>
    <t>Viagem a Serviço</t>
  </si>
  <si>
    <t>Compensação</t>
  </si>
  <si>
    <t>Gerência:</t>
  </si>
  <si>
    <t>Folga Técnica</t>
  </si>
  <si>
    <t>Folga</t>
  </si>
  <si>
    <t>DONA</t>
  </si>
  <si>
    <t>Superintendência:</t>
  </si>
  <si>
    <t>Legenda</t>
  </si>
  <si>
    <t>Horário de Descanso</t>
  </si>
  <si>
    <t>Turno de Trabalho</t>
  </si>
  <si>
    <t>Referência</t>
  </si>
  <si>
    <t>/</t>
  </si>
  <si>
    <t>SETEMBRO</t>
  </si>
  <si>
    <t>Superintendência de Gestão de Navegação Aérea - DONA</t>
  </si>
  <si>
    <t>Escala de Serviço
PREVISTA - TWR 22/08/2016</t>
  </si>
  <si>
    <t>Empresa Brasileira de Infraestrutura Aeroportuária</t>
  </si>
  <si>
    <t>Horário (3)</t>
  </si>
  <si>
    <t>Horário (4)</t>
  </si>
  <si>
    <t>Horário (5)</t>
  </si>
  <si>
    <t>Horário (6)</t>
  </si>
  <si>
    <t>Horário (7)</t>
  </si>
  <si>
    <t>Horário (8)</t>
  </si>
  <si>
    <t>Horário (9)</t>
  </si>
  <si>
    <t>Total              (Horas)</t>
  </si>
  <si>
    <t xml:space="preserve">      </t>
  </si>
  <si>
    <r>
      <t>Memorando n.º   1XX/</t>
    </r>
    <r>
      <rPr>
        <sz val="12"/>
        <color rgb="FF000000"/>
        <rFont val="Times New Roman"/>
        <family val="1"/>
      </rPr>
      <t>TAKP-1/2016</t>
    </r>
    <r>
      <rPr>
        <sz val="12"/>
        <rFont val="Times New Roman"/>
        <family val="1"/>
      </rPr>
      <t xml:space="preserve">    </t>
    </r>
  </si>
  <si>
    <t xml:space="preserve">                                                                                         Campinas, 06 de setembro de 2016.</t>
  </si>
  <si>
    <t>Senhor Gerente da EPTA Viracopos/Campinas - TAKP</t>
  </si>
  <si>
    <t xml:space="preserve">       Assunto: Solicitação de autorização de horas extras.</t>
  </si>
  <si>
    <t>Solicito a V.S.ª autorizar a realização de horas extras, conforme opção abaixo:</t>
  </si>
  <si>
    <r>
      <t>OPÇÃO 1</t>
    </r>
    <r>
      <rPr>
        <sz val="12"/>
        <rFont val="Times New Roman"/>
        <family val="1"/>
      </rPr>
      <t xml:space="preserve">(    )  </t>
    </r>
  </si>
  <si>
    <t>TODOS OS EMPREGADOS E/OU REQUISITADOS DE UMA MESMA LOTAÇÃO</t>
  </si>
  <si>
    <r>
      <t xml:space="preserve">        </t>
    </r>
    <r>
      <rPr>
        <sz val="8"/>
        <rFont val="Times New Roman"/>
        <family val="1"/>
      </rPr>
      <t>LOTAÇÃO:</t>
    </r>
  </si>
  <si>
    <r>
      <t xml:space="preserve">            PERÍODO (DIAS):    01/09/_2016       A </t>
    </r>
    <r>
      <rPr>
        <sz val="12"/>
        <rFont val="Times New Roman"/>
        <family val="1"/>
      </rPr>
      <t xml:space="preserve">     </t>
    </r>
    <r>
      <rPr>
        <sz val="8"/>
        <rFont val="Times New Roman"/>
        <family val="1"/>
      </rPr>
      <t>30/09/2016</t>
    </r>
  </si>
  <si>
    <r>
      <t xml:space="preserve">            HORÁRIO: DAS       _________________      ÀS      __________________</t>
    </r>
    <r>
      <rPr>
        <sz val="12"/>
        <rFont val="Times New Roman"/>
        <family val="1"/>
      </rPr>
      <t xml:space="preserve">   </t>
    </r>
  </si>
  <si>
    <t>OPÇÃO 2 (X)</t>
  </si>
  <si>
    <t>POR EMPREGADO E/OU REQUISITADO</t>
  </si>
  <si>
    <t>Período (dias)</t>
  </si>
  <si>
    <t>Horário</t>
  </si>
  <si>
    <t>COMPOSIÇÃO DE MÍNIMO OPERACIONAL</t>
  </si>
  <si>
    <t>INSPEÇÃO DE SAÚDE</t>
  </si>
  <si>
    <t>OUTRA JUSTIFICATIVA</t>
  </si>
  <si>
    <t>PESQUISA DE FATOR OPERACIONAL</t>
  </si>
  <si>
    <t>REUNIÃO/BRIEFING</t>
  </si>
  <si>
    <t>ASSINATURA DO REQUERENTE</t>
  </si>
  <si>
    <t>Contagem de Horas Extras</t>
  </si>
  <si>
    <t>Planilha Automática</t>
  </si>
  <si>
    <t xml:space="preserve">Planilha 2: </t>
  </si>
  <si>
    <t>Horas extras</t>
  </si>
  <si>
    <t xml:space="preserve">Planilha 3: </t>
  </si>
  <si>
    <t>Formulário</t>
  </si>
  <si>
    <t xml:space="preserve">Planilha 1: </t>
  </si>
  <si>
    <t>Escala de trabalho</t>
  </si>
  <si>
    <t>As outras ocorrências são listadas abaixo:</t>
  </si>
  <si>
    <t>Horas extra no turno A</t>
  </si>
  <si>
    <t>Horas extra no turno B</t>
  </si>
  <si>
    <t>Horas extra no turno C</t>
  </si>
  <si>
    <t>Descrição</t>
  </si>
  <si>
    <t xml:space="preserve">Planilha 1: Escala de trabalho. </t>
  </si>
  <si>
    <t>Turnos de trabalho:</t>
  </si>
  <si>
    <t>Planilha 3: Formulário Automático</t>
  </si>
  <si>
    <t>Horas Extras:</t>
  </si>
  <si>
    <t>Período</t>
  </si>
  <si>
    <t>Dados:</t>
  </si>
  <si>
    <t>Planilha 2: Quantidade de HE realizada</t>
  </si>
  <si>
    <t>Para gerar o formulário das horas extras por funcionário, clique no botão executar.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</si>
</sst>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4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7"/>
      <name val="Arial"/>
      <family val="2"/>
    </font>
    <font>
      <sz val="10"/>
      <name val="Verdana"/>
      <family val="2"/>
    </font>
    <font>
      <b/>
      <sz val="14"/>
      <name val="Arial"/>
      <family val="2"/>
    </font>
    <font>
      <sz val="10"/>
      <color indexed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Verdana"/>
      <family val="2"/>
    </font>
    <font>
      <sz val="14"/>
      <name val="Verdana"/>
      <family val="2"/>
    </font>
    <font>
      <b/>
      <sz val="8"/>
      <name val="Calibri"/>
      <family val="2"/>
      <scheme val="minor"/>
    </font>
    <font>
      <sz val="10"/>
      <name val="Calibri"/>
      <family val="2"/>
      <scheme val="minor"/>
    </font>
    <font>
      <sz val="8"/>
      <color theme="1"/>
      <name val="Arial"/>
      <family val="2"/>
    </font>
    <font>
      <sz val="11"/>
      <name val="Calibri"/>
      <family val="2"/>
      <scheme val="minor"/>
    </font>
    <font>
      <b/>
      <i/>
      <sz val="14"/>
      <name val="Calibri"/>
      <family val="2"/>
      <scheme val="minor"/>
    </font>
    <font>
      <b/>
      <i/>
      <sz val="14"/>
      <name val="Arial"/>
      <family val="2"/>
    </font>
    <font>
      <sz val="9"/>
      <color theme="1"/>
      <name val="Arial"/>
      <family val="2"/>
    </font>
    <font>
      <sz val="7"/>
      <color theme="1"/>
      <name val="Arial"/>
      <family val="2"/>
    </font>
    <font>
      <b/>
      <i/>
      <sz val="12"/>
      <name val="Calibri"/>
      <family val="2"/>
      <scheme val="minor"/>
    </font>
    <font>
      <b/>
      <sz val="12"/>
      <name val="Arial"/>
      <family val="2"/>
    </font>
    <font>
      <sz val="12"/>
      <name val="Arial Black"/>
      <family val="2"/>
    </font>
    <font>
      <sz val="12"/>
      <name val="Verdana"/>
      <family val="2"/>
    </font>
    <font>
      <sz val="16"/>
      <color theme="1"/>
      <name val="Tahoma"/>
      <family val="2"/>
    </font>
    <font>
      <sz val="18"/>
      <color theme="1"/>
      <name val="Tahoma"/>
      <family val="2"/>
    </font>
    <font>
      <sz val="18"/>
      <name val="Calibri"/>
      <family val="2"/>
      <scheme val="minor"/>
    </font>
    <font>
      <sz val="18"/>
      <color rgb="FFFF0000"/>
      <name val="Tahoma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8"/>
      <name val="Tahoma"/>
      <family val="2"/>
    </font>
    <font>
      <sz val="3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rgb="FF000000"/>
      <name val="Times New Roman"/>
      <family val="1"/>
    </font>
    <font>
      <sz val="8"/>
      <name val="Times New Roman"/>
      <family val="1"/>
    </font>
    <font>
      <b/>
      <sz val="10"/>
      <name val="Times New Roman"/>
      <family val="1"/>
    </font>
    <font>
      <sz val="22"/>
      <name val="Arial"/>
      <family val="2"/>
    </font>
    <font>
      <b/>
      <sz val="16"/>
      <name val="Arial"/>
      <family val="2"/>
    </font>
    <font>
      <sz val="10"/>
      <color rgb="FF000000"/>
      <name val="Arial"/>
      <family val="2"/>
    </font>
    <font>
      <b/>
      <sz val="12"/>
      <color rgb="FFC0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2404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</fills>
  <borders count="2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56"/>
      </bottom>
      <diagonal/>
    </border>
    <border>
      <left/>
      <right/>
      <top style="thin">
        <color auto="1"/>
      </top>
      <bottom/>
      <diagonal/>
    </border>
    <border>
      <left/>
      <right/>
      <top style="medium">
        <color indexed="5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5" fillId="0" borderId="0"/>
    <xf numFmtId="0" fontId="2" fillId="0" borderId="0"/>
    <xf numFmtId="0" fontId="2" fillId="0" borderId="0"/>
    <xf numFmtId="0" fontId="1" fillId="0" borderId="0"/>
  </cellStyleXfs>
  <cellXfs count="208">
    <xf numFmtId="0" fontId="0" fillId="0" borderId="0" xfId="0"/>
    <xf numFmtId="0" fontId="9" fillId="0" borderId="0" xfId="0" applyFont="1"/>
    <xf numFmtId="0" fontId="11" fillId="0" borderId="0" xfId="0" applyFont="1"/>
    <xf numFmtId="0" fontId="15" fillId="0" borderId="0" xfId="0" applyFont="1"/>
    <xf numFmtId="0" fontId="12" fillId="0" borderId="0" xfId="0" applyFont="1"/>
    <xf numFmtId="0" fontId="16" fillId="0" borderId="0" xfId="0" applyFont="1"/>
    <xf numFmtId="0" fontId="17" fillId="0" borderId="0" xfId="0" applyFont="1"/>
    <xf numFmtId="0" fontId="11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13" fillId="0" borderId="0" xfId="0" applyFont="1"/>
    <xf numFmtId="0" fontId="14" fillId="0" borderId="0" xfId="0" applyFont="1"/>
    <xf numFmtId="0" fontId="6" fillId="0" borderId="0" xfId="4"/>
    <xf numFmtId="0" fontId="6" fillId="0" borderId="0" xfId="4" applyAlignment="1">
      <alignment horizontal="center"/>
    </xf>
    <xf numFmtId="49" fontId="20" fillId="0" borderId="0" xfId="4" applyNumberFormat="1" applyFont="1" applyAlignment="1">
      <alignment horizontal="center"/>
    </xf>
    <xf numFmtId="0" fontId="6" fillId="0" borderId="0" xfId="4" applyAlignment="1">
      <alignment horizontal="left"/>
    </xf>
    <xf numFmtId="0" fontId="21" fillId="0" borderId="0" xfId="4" quotePrefix="1" applyFont="1"/>
    <xf numFmtId="0" fontId="21" fillId="0" borderId="0" xfId="4" applyFont="1" applyAlignment="1">
      <alignment horizontal="center"/>
    </xf>
    <xf numFmtId="0" fontId="21" fillId="0" borderId="0" xfId="4" applyFont="1"/>
    <xf numFmtId="0" fontId="22" fillId="0" borderId="0" xfId="1" applyFont="1" applyAlignment="1">
      <alignment horizontal="center"/>
    </xf>
    <xf numFmtId="49" fontId="6" fillId="0" borderId="0" xfId="4" applyNumberFormat="1" applyAlignment="1">
      <alignment horizontal="left"/>
    </xf>
    <xf numFmtId="0" fontId="23" fillId="0" borderId="0" xfId="1" applyFont="1" applyAlignment="1">
      <alignment horizontal="center"/>
    </xf>
    <xf numFmtId="0" fontId="22" fillId="0" borderId="0" xfId="4" applyFont="1" applyAlignment="1">
      <alignment horizontal="center"/>
    </xf>
    <xf numFmtId="0" fontId="10" fillId="0" borderId="0" xfId="4" quotePrefix="1" applyFont="1"/>
    <xf numFmtId="0" fontId="10" fillId="0" borderId="0" xfId="4" applyFont="1"/>
    <xf numFmtId="49" fontId="24" fillId="0" borderId="0" xfId="4" applyNumberFormat="1" applyFont="1" applyAlignment="1">
      <alignment horizontal="center"/>
    </xf>
    <xf numFmtId="49" fontId="25" fillId="0" borderId="0" xfId="4" applyNumberFormat="1" applyFont="1" applyAlignment="1">
      <alignment horizontal="center"/>
    </xf>
    <xf numFmtId="0" fontId="26" fillId="0" borderId="0" xfId="1" applyFont="1" applyAlignment="1">
      <alignment horizontal="center"/>
    </xf>
    <xf numFmtId="0" fontId="21" fillId="0" borderId="0" xfId="1" applyFont="1" applyAlignment="1">
      <alignment horizontal="left"/>
    </xf>
    <xf numFmtId="0" fontId="10" fillId="0" borderId="0" xfId="1" applyFont="1" applyAlignment="1">
      <alignment horizontal="left"/>
    </xf>
    <xf numFmtId="0" fontId="21" fillId="0" borderId="0" xfId="1" quotePrefix="1" applyFont="1" applyAlignment="1">
      <alignment horizontal="center"/>
    </xf>
    <xf numFmtId="0" fontId="0" fillId="0" borderId="0" xfId="0" applyAlignment="1">
      <alignment horizontal="left" vertical="center"/>
    </xf>
    <xf numFmtId="0" fontId="5" fillId="0" borderId="0" xfId="4" applyFont="1" applyAlignment="1">
      <alignment horizontal="center"/>
    </xf>
    <xf numFmtId="0" fontId="5" fillId="0" borderId="0" xfId="4" applyFont="1"/>
    <xf numFmtId="0" fontId="5" fillId="0" borderId="0" xfId="4" applyFont="1" applyAlignment="1">
      <alignment horizontal="left"/>
    </xf>
    <xf numFmtId="0" fontId="4" fillId="0" borderId="0" xfId="4" applyFont="1" applyAlignment="1">
      <alignment horizontal="center"/>
    </xf>
    <xf numFmtId="0" fontId="3" fillId="0" borderId="0" xfId="4" applyFont="1" applyAlignment="1">
      <alignment horizontal="center"/>
    </xf>
    <xf numFmtId="0" fontId="3" fillId="0" borderId="0" xfId="4" applyFont="1" applyAlignment="1">
      <alignment horizontal="left"/>
    </xf>
    <xf numFmtId="0" fontId="27" fillId="0" borderId="3" xfId="0" applyFont="1" applyBorder="1" applyAlignment="1">
      <alignment horizontal="center" vertical="center"/>
    </xf>
    <xf numFmtId="20" fontId="14" fillId="0" borderId="0" xfId="0" applyNumberFormat="1" applyFont="1" applyAlignment="1">
      <alignment horizontal="right"/>
    </xf>
    <xf numFmtId="20" fontId="14" fillId="0" borderId="0" xfId="0" applyNumberFormat="1" applyFont="1" applyAlignment="1">
      <alignment horizontal="center"/>
    </xf>
    <xf numFmtId="0" fontId="29" fillId="0" borderId="0" xfId="0" applyFont="1" applyAlignment="1">
      <alignment vertical="center"/>
    </xf>
    <xf numFmtId="164" fontId="18" fillId="0" borderId="0" xfId="2" applyNumberFormat="1" applyFont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31" fillId="2" borderId="2" xfId="0" applyFont="1" applyFill="1" applyBorder="1" applyAlignment="1">
      <alignment horizontal="center" vertical="center"/>
    </xf>
    <xf numFmtId="164" fontId="18" fillId="2" borderId="0" xfId="2" applyNumberFormat="1" applyFont="1" applyFill="1" applyAlignment="1">
      <alignment horizontal="center" vertical="center"/>
    </xf>
    <xf numFmtId="0" fontId="13" fillId="2" borderId="0" xfId="0" applyFont="1" applyFill="1"/>
    <xf numFmtId="0" fontId="31" fillId="4" borderId="2" xfId="0" applyFont="1" applyFill="1" applyBorder="1" applyAlignment="1">
      <alignment horizontal="center" vertical="center"/>
    </xf>
    <xf numFmtId="0" fontId="31" fillId="3" borderId="2" xfId="0" applyFont="1" applyFill="1" applyBorder="1" applyAlignment="1">
      <alignment horizontal="center" vertical="center"/>
    </xf>
    <xf numFmtId="1" fontId="32" fillId="4" borderId="2" xfId="2" applyNumberFormat="1" applyFont="1" applyFill="1" applyBorder="1" applyAlignment="1">
      <alignment horizontal="center" vertical="center"/>
    </xf>
    <xf numFmtId="0" fontId="32" fillId="4" borderId="2" xfId="2" applyFont="1" applyFill="1" applyBorder="1" applyAlignment="1">
      <alignment horizontal="left" vertical="center"/>
    </xf>
    <xf numFmtId="0" fontId="32" fillId="4" borderId="2" xfId="2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1" fontId="32" fillId="3" borderId="2" xfId="2" applyNumberFormat="1" applyFont="1" applyFill="1" applyBorder="1" applyAlignment="1">
      <alignment horizontal="center" vertical="center"/>
    </xf>
    <xf numFmtId="0" fontId="32" fillId="3" borderId="2" xfId="2" applyFont="1" applyFill="1" applyBorder="1" applyAlignment="1">
      <alignment horizontal="left" vertical="center"/>
    </xf>
    <xf numFmtId="0" fontId="32" fillId="3" borderId="2" xfId="2" applyFont="1" applyFill="1" applyBorder="1" applyAlignment="1">
      <alignment horizontal="center" vertical="center"/>
    </xf>
    <xf numFmtId="1" fontId="32" fillId="2" borderId="2" xfId="2" applyNumberFormat="1" applyFont="1" applyFill="1" applyBorder="1" applyAlignment="1">
      <alignment horizontal="center" vertical="center"/>
    </xf>
    <xf numFmtId="0" fontId="32" fillId="0" borderId="2" xfId="2" applyFont="1" applyBorder="1" applyAlignment="1">
      <alignment horizontal="left" vertical="center"/>
    </xf>
    <xf numFmtId="0" fontId="32" fillId="0" borderId="2" xfId="2" applyFont="1" applyBorder="1" applyAlignment="1">
      <alignment horizontal="center" vertical="center"/>
    </xf>
    <xf numFmtId="1" fontId="32" fillId="5" borderId="2" xfId="2" applyNumberFormat="1" applyFont="1" applyFill="1" applyBorder="1" applyAlignment="1">
      <alignment horizontal="center" vertical="center"/>
    </xf>
    <xf numFmtId="0" fontId="32" fillId="5" borderId="2" xfId="2" applyFont="1" applyFill="1" applyBorder="1" applyAlignment="1">
      <alignment horizontal="left" vertical="center"/>
    </xf>
    <xf numFmtId="0" fontId="32" fillId="5" borderId="2" xfId="2" applyFont="1" applyFill="1" applyBorder="1" applyAlignment="1">
      <alignment horizontal="center" vertical="center"/>
    </xf>
    <xf numFmtId="1" fontId="32" fillId="6" borderId="2" xfId="2" applyNumberFormat="1" applyFont="1" applyFill="1" applyBorder="1" applyAlignment="1">
      <alignment horizontal="center" vertical="center"/>
    </xf>
    <xf numFmtId="0" fontId="32" fillId="6" borderId="2" xfId="2" applyFont="1" applyFill="1" applyBorder="1" applyAlignment="1">
      <alignment horizontal="left" vertical="center"/>
    </xf>
    <xf numFmtId="0" fontId="32" fillId="6" borderId="2" xfId="2" applyFont="1" applyFill="1" applyBorder="1" applyAlignment="1">
      <alignment horizontal="center" vertical="center"/>
    </xf>
    <xf numFmtId="1" fontId="32" fillId="7" borderId="2" xfId="2" applyNumberFormat="1" applyFont="1" applyFill="1" applyBorder="1" applyAlignment="1">
      <alignment horizontal="center" vertical="center"/>
    </xf>
    <xf numFmtId="0" fontId="32" fillId="7" borderId="2" xfId="2" applyFont="1" applyFill="1" applyBorder="1" applyAlignment="1">
      <alignment horizontal="left" vertical="center"/>
    </xf>
    <xf numFmtId="0" fontId="32" fillId="7" borderId="2" xfId="2" applyFont="1" applyFill="1" applyBorder="1" applyAlignment="1">
      <alignment horizontal="center" vertical="center"/>
    </xf>
    <xf numFmtId="0" fontId="30" fillId="2" borderId="6" xfId="0" applyFont="1" applyFill="1" applyBorder="1" applyAlignment="1">
      <alignment horizontal="center" vertical="center"/>
    </xf>
    <xf numFmtId="0" fontId="32" fillId="8" borderId="2" xfId="2" applyFont="1" applyFill="1" applyBorder="1" applyAlignment="1">
      <alignment horizontal="left" vertical="center"/>
    </xf>
    <xf numFmtId="1" fontId="32" fillId="8" borderId="2" xfId="2" applyNumberFormat="1" applyFont="1" applyFill="1" applyBorder="1" applyAlignment="1">
      <alignment horizontal="center" vertical="center"/>
    </xf>
    <xf numFmtId="0" fontId="32" fillId="8" borderId="2" xfId="2" applyFont="1" applyFill="1" applyBorder="1" applyAlignment="1">
      <alignment horizontal="center" vertical="center"/>
    </xf>
    <xf numFmtId="0" fontId="31" fillId="2" borderId="7" xfId="0" applyFont="1" applyFill="1" applyBorder="1" applyAlignment="1">
      <alignment horizontal="center" vertical="center"/>
    </xf>
    <xf numFmtId="0" fontId="31" fillId="4" borderId="7" xfId="0" applyFont="1" applyFill="1" applyBorder="1" applyAlignment="1">
      <alignment horizontal="center" vertical="center"/>
    </xf>
    <xf numFmtId="0" fontId="30" fillId="3" borderId="2" xfId="0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1" fontId="19" fillId="4" borderId="2" xfId="2" applyNumberFormat="1" applyFont="1" applyFill="1" applyBorder="1" applyAlignment="1">
      <alignment horizontal="center" vertical="center"/>
    </xf>
    <xf numFmtId="0" fontId="19" fillId="4" borderId="2" xfId="2" applyFont="1" applyFill="1" applyBorder="1" applyAlignment="1">
      <alignment horizontal="left" vertical="center"/>
    </xf>
    <xf numFmtId="0" fontId="19" fillId="4" borderId="2" xfId="2" applyFont="1" applyFill="1" applyBorder="1" applyAlignment="1">
      <alignment horizontal="center" vertical="center"/>
    </xf>
    <xf numFmtId="1" fontId="19" fillId="3" borderId="2" xfId="2" applyNumberFormat="1" applyFont="1" applyFill="1" applyBorder="1" applyAlignment="1">
      <alignment horizontal="center" vertical="center"/>
    </xf>
    <xf numFmtId="0" fontId="19" fillId="3" borderId="2" xfId="2" applyFont="1" applyFill="1" applyBorder="1" applyAlignment="1">
      <alignment horizontal="left" vertical="center"/>
    </xf>
    <xf numFmtId="0" fontId="19" fillId="3" borderId="2" xfId="2" applyFont="1" applyFill="1" applyBorder="1" applyAlignment="1">
      <alignment horizontal="center" vertical="center"/>
    </xf>
    <xf numFmtId="1" fontId="19" fillId="2" borderId="2" xfId="2" applyNumberFormat="1" applyFont="1" applyFill="1" applyBorder="1" applyAlignment="1">
      <alignment horizontal="center" vertical="center"/>
    </xf>
    <xf numFmtId="0" fontId="19" fillId="0" borderId="2" xfId="2" applyFont="1" applyBorder="1" applyAlignment="1">
      <alignment horizontal="left" vertical="center"/>
    </xf>
    <xf numFmtId="0" fontId="19" fillId="0" borderId="2" xfId="2" applyFont="1" applyBorder="1" applyAlignment="1">
      <alignment horizontal="center" vertical="center"/>
    </xf>
    <xf numFmtId="1" fontId="19" fillId="5" borderId="2" xfId="2" applyNumberFormat="1" applyFont="1" applyFill="1" applyBorder="1" applyAlignment="1">
      <alignment horizontal="center" vertical="center"/>
    </xf>
    <xf numFmtId="0" fontId="19" fillId="5" borderId="2" xfId="2" applyFont="1" applyFill="1" applyBorder="1" applyAlignment="1">
      <alignment horizontal="left" vertical="center"/>
    </xf>
    <xf numFmtId="0" fontId="19" fillId="5" borderId="2" xfId="2" applyFont="1" applyFill="1" applyBorder="1" applyAlignment="1">
      <alignment horizontal="center" vertical="center"/>
    </xf>
    <xf numFmtId="1" fontId="19" fillId="6" borderId="2" xfId="2" applyNumberFormat="1" applyFont="1" applyFill="1" applyBorder="1" applyAlignment="1">
      <alignment horizontal="center" vertical="center"/>
    </xf>
    <xf numFmtId="0" fontId="19" fillId="6" borderId="2" xfId="2" applyFont="1" applyFill="1" applyBorder="1" applyAlignment="1">
      <alignment horizontal="left" vertical="center"/>
    </xf>
    <xf numFmtId="0" fontId="19" fillId="6" borderId="2" xfId="2" applyFont="1" applyFill="1" applyBorder="1" applyAlignment="1">
      <alignment horizontal="center" vertical="center"/>
    </xf>
    <xf numFmtId="1" fontId="19" fillId="8" borderId="2" xfId="2" applyNumberFormat="1" applyFont="1" applyFill="1" applyBorder="1" applyAlignment="1">
      <alignment horizontal="center" vertical="center"/>
    </xf>
    <xf numFmtId="0" fontId="19" fillId="8" borderId="2" xfId="2" applyFont="1" applyFill="1" applyBorder="1" applyAlignment="1">
      <alignment horizontal="left" vertical="center"/>
    </xf>
    <xf numFmtId="0" fontId="19" fillId="8" borderId="2" xfId="2" applyFont="1" applyFill="1" applyBorder="1" applyAlignment="1">
      <alignment horizontal="center" vertical="center"/>
    </xf>
    <xf numFmtId="1" fontId="19" fillId="7" borderId="2" xfId="2" applyNumberFormat="1" applyFont="1" applyFill="1" applyBorder="1" applyAlignment="1">
      <alignment horizontal="center" vertical="center"/>
    </xf>
    <xf numFmtId="0" fontId="19" fillId="7" borderId="2" xfId="2" applyFont="1" applyFill="1" applyBorder="1" applyAlignment="1">
      <alignment horizontal="left" vertical="center"/>
    </xf>
    <xf numFmtId="0" fontId="19" fillId="7" borderId="2" xfId="2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0" fillId="0" borderId="0" xfId="0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0" fillId="0" borderId="2" xfId="0" applyBorder="1"/>
    <xf numFmtId="0" fontId="0" fillId="9" borderId="2" xfId="0" applyFill="1" applyBorder="1"/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left"/>
    </xf>
    <xf numFmtId="20" fontId="14" fillId="0" borderId="0" xfId="0" applyNumberFormat="1" applyFont="1" applyAlignment="1">
      <alignment horizontal="left"/>
    </xf>
    <xf numFmtId="0" fontId="14" fillId="0" borderId="0" xfId="0" applyFont="1" applyAlignment="1">
      <alignment horizontal="right"/>
    </xf>
    <xf numFmtId="0" fontId="33" fillId="10" borderId="2" xfId="0" applyFont="1" applyFill="1" applyBorder="1" applyAlignment="1">
      <alignment horizontal="center" vertical="center"/>
    </xf>
    <xf numFmtId="0" fontId="36" fillId="6" borderId="2" xfId="0" applyFont="1" applyFill="1" applyBorder="1" applyAlignment="1">
      <alignment horizontal="center" vertical="center"/>
    </xf>
    <xf numFmtId="0" fontId="31" fillId="10" borderId="2" xfId="0" applyFont="1" applyFill="1" applyBorder="1" applyAlignment="1">
      <alignment horizontal="center" vertical="center"/>
    </xf>
    <xf numFmtId="0" fontId="8" fillId="0" borderId="0" xfId="0" applyFont="1"/>
    <xf numFmtId="0" fontId="37" fillId="0" borderId="0" xfId="0" applyFont="1" applyAlignment="1">
      <alignment vertical="center"/>
    </xf>
    <xf numFmtId="0" fontId="38" fillId="0" borderId="0" xfId="0" applyFont="1" applyAlignment="1">
      <alignment horizontal="left" vertical="center"/>
    </xf>
    <xf numFmtId="0" fontId="39" fillId="0" borderId="0" xfId="0" applyFont="1"/>
    <xf numFmtId="0" fontId="39" fillId="0" borderId="2" xfId="0" applyFont="1" applyBorder="1" applyAlignment="1">
      <alignment horizontal="center" vertical="center"/>
    </xf>
    <xf numFmtId="0" fontId="41" fillId="0" borderId="7" xfId="0" applyFont="1" applyBorder="1" applyAlignment="1">
      <alignment horizontal="center" vertical="center" wrapText="1"/>
    </xf>
    <xf numFmtId="0" fontId="41" fillId="0" borderId="2" xfId="0" applyFont="1" applyBorder="1" applyAlignment="1">
      <alignment horizontal="center" vertical="center" wrapText="1"/>
    </xf>
    <xf numFmtId="0" fontId="41" fillId="0" borderId="17" xfId="0" applyFont="1" applyBorder="1" applyAlignment="1">
      <alignment horizontal="center" vertical="center" wrapText="1"/>
    </xf>
    <xf numFmtId="0" fontId="41" fillId="0" borderId="15" xfId="0" applyFont="1" applyBorder="1" applyAlignment="1">
      <alignment horizontal="center" vertical="center" wrapText="1"/>
    </xf>
    <xf numFmtId="0" fontId="42" fillId="0" borderId="2" xfId="0" applyFont="1" applyBorder="1" applyAlignment="1">
      <alignment vertical="center" wrapText="1"/>
    </xf>
    <xf numFmtId="0" fontId="0" fillId="0" borderId="13" xfId="0" applyBorder="1"/>
    <xf numFmtId="0" fontId="0" fillId="0" borderId="18" xfId="0" applyBorder="1"/>
    <xf numFmtId="0" fontId="0" fillId="0" borderId="16" xfId="0" applyBorder="1"/>
    <xf numFmtId="0" fontId="39" fillId="0" borderId="2" xfId="0" applyFont="1" applyBorder="1"/>
    <xf numFmtId="14" fontId="41" fillId="0" borderId="7" xfId="0" applyNumberFormat="1" applyFont="1" applyBorder="1" applyAlignment="1">
      <alignment horizontal="center" vertical="center" wrapText="1"/>
    </xf>
    <xf numFmtId="0" fontId="0" fillId="11" borderId="0" xfId="0" applyFill="1"/>
    <xf numFmtId="0" fontId="15" fillId="9" borderId="0" xfId="0" applyFont="1" applyFill="1"/>
    <xf numFmtId="0" fontId="0" fillId="9" borderId="0" xfId="0" applyFill="1"/>
    <xf numFmtId="0" fontId="15" fillId="13" borderId="0" xfId="0" applyFont="1" applyFill="1"/>
    <xf numFmtId="0" fontId="0" fillId="13" borderId="0" xfId="0" applyFill="1"/>
    <xf numFmtId="0" fontId="15" fillId="14" borderId="0" xfId="0" applyFont="1" applyFill="1"/>
    <xf numFmtId="0" fontId="0" fillId="14" borderId="0" xfId="0" applyFill="1"/>
    <xf numFmtId="0" fontId="43" fillId="11" borderId="0" xfId="0" applyFont="1" applyFill="1"/>
    <xf numFmtId="0" fontId="0" fillId="12" borderId="0" xfId="0" applyFill="1"/>
    <xf numFmtId="0" fontId="0" fillId="15" borderId="0" xfId="0" applyFill="1"/>
    <xf numFmtId="0" fontId="0" fillId="16" borderId="0" xfId="0" applyFill="1"/>
    <xf numFmtId="0" fontId="44" fillId="16" borderId="0" xfId="0" applyFont="1" applyFill="1"/>
    <xf numFmtId="0" fontId="46" fillId="0" borderId="0" xfId="0" applyFont="1" applyAlignment="1">
      <alignment horizontal="left"/>
    </xf>
    <xf numFmtId="0" fontId="27" fillId="15" borderId="20" xfId="0" applyFont="1" applyFill="1" applyBorder="1"/>
    <xf numFmtId="0" fontId="27" fillId="15" borderId="21" xfId="0" applyFont="1" applyFill="1" applyBorder="1"/>
    <xf numFmtId="0" fontId="27" fillId="15" borderId="22" xfId="0" applyFont="1" applyFill="1" applyBorder="1"/>
    <xf numFmtId="0" fontId="27" fillId="15" borderId="23" xfId="0" applyFont="1" applyFill="1" applyBorder="1"/>
    <xf numFmtId="0" fontId="27" fillId="15" borderId="24" xfId="0" applyFont="1" applyFill="1" applyBorder="1"/>
    <xf numFmtId="0" fontId="27" fillId="15" borderId="25" xfId="0" applyFont="1" applyFill="1" applyBorder="1"/>
    <xf numFmtId="0" fontId="27" fillId="0" borderId="0" xfId="0" applyFont="1"/>
    <xf numFmtId="0" fontId="0" fillId="15" borderId="21" xfId="0" applyFill="1" applyBorder="1"/>
    <xf numFmtId="0" fontId="15" fillId="12" borderId="0" xfId="0" applyFont="1" applyFill="1" applyAlignment="1">
      <alignment horizontal="center"/>
    </xf>
    <xf numFmtId="0" fontId="14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4" fillId="6" borderId="2" xfId="0" applyFont="1" applyFill="1" applyBorder="1" applyAlignment="1">
      <alignment horizontal="center" wrapText="1"/>
    </xf>
    <xf numFmtId="0" fontId="14" fillId="6" borderId="2" xfId="0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20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0" fontId="27" fillId="0" borderId="3" xfId="0" applyFont="1" applyBorder="1" applyAlignment="1">
      <alignment horizontal="left" vertical="center"/>
    </xf>
    <xf numFmtId="0" fontId="14" fillId="0" borderId="3" xfId="0" applyFont="1" applyBorder="1" applyAlignment="1">
      <alignment vertical="center"/>
    </xf>
    <xf numFmtId="49" fontId="27" fillId="0" borderId="3" xfId="0" applyNumberFormat="1" applyFont="1" applyBorder="1" applyAlignment="1">
      <alignment horizontal="right" vertical="center"/>
    </xf>
    <xf numFmtId="0" fontId="27" fillId="0" borderId="5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8" fillId="0" borderId="0" xfId="0" applyFont="1" applyAlignment="1">
      <alignment horizontal="center" vertical="top" wrapText="1"/>
    </xf>
    <xf numFmtId="0" fontId="14" fillId="0" borderId="0" xfId="0" applyFont="1"/>
    <xf numFmtId="0" fontId="14" fillId="0" borderId="3" xfId="0" applyFont="1" applyBorder="1"/>
    <xf numFmtId="0" fontId="27" fillId="0" borderId="0" xfId="0" applyFont="1" applyAlignment="1">
      <alignment horizontal="center" vertical="center"/>
    </xf>
    <xf numFmtId="49" fontId="14" fillId="0" borderId="3" xfId="0" applyNumberFormat="1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0" fillId="0" borderId="0" xfId="0" applyAlignment="1">
      <alignment horizontal="left"/>
    </xf>
    <xf numFmtId="0" fontId="11" fillId="0" borderId="0" xfId="0" applyFont="1" applyAlignment="1">
      <alignment horizont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39" fillId="0" borderId="2" xfId="0" applyFont="1" applyBorder="1" applyAlignment="1">
      <alignment horizontal="center" vertical="center" wrapText="1"/>
    </xf>
    <xf numFmtId="0" fontId="0" fillId="0" borderId="19" xfId="0" applyBorder="1" applyAlignment="1">
      <alignment vertical="top" wrapText="1"/>
    </xf>
    <xf numFmtId="0" fontId="0" fillId="0" borderId="0" xfId="0" applyAlignment="1">
      <alignment vertical="top" wrapText="1"/>
    </xf>
    <xf numFmtId="0" fontId="0" fillId="0" borderId="1" xfId="0" applyBorder="1" applyAlignment="1">
      <alignment vertical="top" wrapText="1"/>
    </xf>
    <xf numFmtId="0" fontId="42" fillId="0" borderId="19" xfId="0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42" fillId="0" borderId="1" xfId="0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4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39" fillId="0" borderId="13" xfId="0" applyFont="1" applyBorder="1" applyAlignment="1">
      <alignment horizontal="center" vertical="center" wrapText="1"/>
    </xf>
    <xf numFmtId="0" fontId="39" fillId="0" borderId="18" xfId="0" applyFont="1" applyBorder="1" applyAlignment="1">
      <alignment horizontal="center" vertical="center" wrapText="1"/>
    </xf>
    <xf numFmtId="0" fontId="39" fillId="0" borderId="16" xfId="0" applyFont="1" applyBorder="1" applyAlignment="1">
      <alignment horizontal="center" vertical="center" wrapText="1"/>
    </xf>
    <xf numFmtId="0" fontId="41" fillId="0" borderId="2" xfId="0" applyFont="1" applyBorder="1" applyAlignment="1">
      <alignment horizontal="center" vertical="center" wrapText="1"/>
    </xf>
    <xf numFmtId="0" fontId="42" fillId="0" borderId="2" xfId="0" applyFont="1" applyBorder="1" applyAlignment="1">
      <alignment horizontal="center" vertical="center" wrapText="1"/>
    </xf>
    <xf numFmtId="0" fontId="39" fillId="0" borderId="19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1" xfId="0" applyFont="1" applyBorder="1" applyAlignment="1">
      <alignment horizontal="center" vertical="center" wrapText="1"/>
    </xf>
    <xf numFmtId="0" fontId="41" fillId="0" borderId="0" xfId="0" applyFont="1" applyAlignment="1">
      <alignment horizontal="left" vertical="center" wrapText="1"/>
    </xf>
    <xf numFmtId="0" fontId="0" fillId="0" borderId="18" xfId="0" applyBorder="1" applyAlignment="1">
      <alignment horizontal="center"/>
    </xf>
    <xf numFmtId="0" fontId="42" fillId="0" borderId="14" xfId="0" applyFont="1" applyBorder="1" applyAlignment="1">
      <alignment horizontal="center" vertical="center" wrapText="1"/>
    </xf>
    <xf numFmtId="0" fontId="42" fillId="0" borderId="4" xfId="0" applyFont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38" fillId="0" borderId="0" xfId="0" applyFont="1" applyAlignment="1">
      <alignment horizontal="left" vertical="center" wrapText="1"/>
    </xf>
    <xf numFmtId="0" fontId="4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38" fillId="0" borderId="0" xfId="0" applyFont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38" fillId="0" borderId="0" xfId="0" applyFont="1" applyAlignment="1">
      <alignment horizontal="center"/>
    </xf>
  </cellXfs>
  <cellStyles count="9">
    <cellStyle name="Normal" xfId="0" builtinId="0"/>
    <cellStyle name="Normal 2" xfId="1" xr:uid="{00000000-0005-0000-0000-000001000000}"/>
    <cellStyle name="Normal 2 2" xfId="3" xr:uid="{00000000-0005-0000-0000-000002000000}"/>
    <cellStyle name="Normal 3" xfId="2" xr:uid="{00000000-0005-0000-0000-000003000000}"/>
    <cellStyle name="Normal 4" xfId="4" xr:uid="{00000000-0005-0000-0000-000004000000}"/>
    <cellStyle name="Normal 4 2" xfId="6" xr:uid="{00000000-0005-0000-0000-000005000000}"/>
    <cellStyle name="Normal 5" xfId="5" xr:uid="{00000000-0005-0000-0000-000006000000}"/>
    <cellStyle name="Normal 5 2" xfId="7" xr:uid="{00000000-0005-0000-0000-000007000000}"/>
    <cellStyle name="Normal 6" xfId="8" xr:uid="{00000000-0005-0000-0000-000008000000}"/>
  </cellStyles>
  <dxfs count="5"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CC"/>
      <color rgb="FFFFFFFF"/>
      <color rgb="FFFF99FF"/>
      <color rgb="FFFF99CC"/>
      <color rgb="FFFFFF99"/>
      <color rgb="FF8DAFFB"/>
      <color rgb="FFF24040"/>
      <color rgb="FFFE3000"/>
      <color rgb="FFCCFC8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25</xdr:row>
          <xdr:rowOff>133350</xdr:rowOff>
        </xdr:from>
        <xdr:to>
          <xdr:col>1</xdr:col>
          <xdr:colOff>333375</xdr:colOff>
          <xdr:row>27</xdr:row>
          <xdr:rowOff>133350</xdr:rowOff>
        </xdr:to>
        <xdr:sp macro="" textlink="">
          <xdr:nvSpPr>
            <xdr:cNvPr id="4097" name="Button 1" descr="Execut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80042</xdr:colOff>
      <xdr:row>0</xdr:row>
      <xdr:rowOff>98670</xdr:rowOff>
    </xdr:from>
    <xdr:ext cx="2984690" cy="453664"/>
    <xdr:pic>
      <xdr:nvPicPr>
        <xdr:cNvPr id="2" name="Picture 7" descr="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0042" y="98670"/>
          <a:ext cx="2984690" cy="4536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1676400</xdr:colOff>
      <xdr:row>1</xdr:row>
      <xdr:rowOff>171450</xdr:rowOff>
    </xdr:to>
    <xdr:pic>
      <xdr:nvPicPr>
        <xdr:cNvPr id="2" name="Imagem 1" descr="LogoHorizontal3DSemRenom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86025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3EBCF-4AFB-45D1-872E-1E47BBCFBA14}">
  <sheetPr codeName="Planilha1"/>
  <dimension ref="A2:U27"/>
  <sheetViews>
    <sheetView showGridLines="0" tabSelected="1" workbookViewId="0">
      <selection activeCell="A25" sqref="A25"/>
    </sheetView>
  </sheetViews>
  <sheetFormatPr defaultRowHeight="12.75" x14ac:dyDescent="0.2"/>
  <cols>
    <col min="1" max="1" width="14.28515625" customWidth="1"/>
    <col min="15" max="15" width="11.5703125" bestFit="1" customWidth="1"/>
  </cols>
  <sheetData>
    <row r="2" spans="1:21" s="126" customFormat="1" ht="27" x14ac:dyDescent="0.35">
      <c r="H2" s="133" t="s">
        <v>508</v>
      </c>
    </row>
    <row r="3" spans="1:21" s="134" customFormat="1" ht="18" x14ac:dyDescent="0.25">
      <c r="I3" s="147" t="s">
        <v>509</v>
      </c>
      <c r="J3" s="147"/>
      <c r="K3" s="147"/>
    </row>
    <row r="5" spans="1:21" s="128" customFormat="1" ht="18" x14ac:dyDescent="0.25">
      <c r="A5" s="127" t="s">
        <v>514</v>
      </c>
      <c r="B5" s="127" t="s">
        <v>515</v>
      </c>
    </row>
    <row r="6" spans="1:21" s="130" customFormat="1" ht="18" x14ac:dyDescent="0.25">
      <c r="A6" s="129" t="s">
        <v>510</v>
      </c>
      <c r="B6" s="129" t="s">
        <v>511</v>
      </c>
    </row>
    <row r="7" spans="1:21" s="132" customFormat="1" ht="18" x14ac:dyDescent="0.25">
      <c r="A7" s="131" t="s">
        <v>512</v>
      </c>
      <c r="B7" s="131" t="s">
        <v>513</v>
      </c>
    </row>
    <row r="9" spans="1:21" s="136" customFormat="1" ht="21" thickBot="1" x14ac:dyDescent="0.35">
      <c r="J9" s="137" t="s">
        <v>520</v>
      </c>
    </row>
    <row r="10" spans="1:21" s="135" customFormat="1" ht="15.75" x14ac:dyDescent="0.25">
      <c r="A10" s="139" t="s">
        <v>521</v>
      </c>
      <c r="B10" s="140"/>
      <c r="C10" s="140"/>
      <c r="D10" s="140"/>
      <c r="E10" s="140"/>
      <c r="F10" s="141"/>
      <c r="G10" s="139" t="s">
        <v>527</v>
      </c>
      <c r="H10" s="146"/>
      <c r="I10" s="140"/>
      <c r="J10" s="140"/>
      <c r="K10" s="140"/>
      <c r="L10" s="140"/>
      <c r="M10" s="140"/>
      <c r="N10" s="141"/>
      <c r="O10" s="139" t="s">
        <v>523</v>
      </c>
      <c r="P10" s="140"/>
      <c r="Q10" s="140"/>
      <c r="R10" s="140"/>
      <c r="S10" s="140"/>
      <c r="T10" s="140"/>
      <c r="U10" s="141"/>
    </row>
    <row r="11" spans="1:21" s="135" customFormat="1" ht="16.5" thickBot="1" x14ac:dyDescent="0.3">
      <c r="A11" s="142"/>
      <c r="B11" s="143"/>
      <c r="C11" s="143"/>
      <c r="D11" s="143"/>
      <c r="E11" s="143"/>
      <c r="F11" s="144"/>
      <c r="G11" s="142"/>
      <c r="H11" s="143"/>
      <c r="I11" s="143"/>
      <c r="J11" s="143"/>
      <c r="K11" s="143"/>
      <c r="L11" s="143"/>
      <c r="M11" s="143"/>
      <c r="N11" s="144"/>
      <c r="O11" s="142"/>
      <c r="P11" s="143"/>
      <c r="Q11" s="143"/>
      <c r="R11" s="143"/>
      <c r="S11" s="143"/>
      <c r="T11" s="143"/>
      <c r="U11" s="144"/>
    </row>
    <row r="12" spans="1:21" ht="15.75" x14ac:dyDescent="0.25">
      <c r="A12" s="145" t="s">
        <v>522</v>
      </c>
      <c r="G12" s="145" t="s">
        <v>524</v>
      </c>
      <c r="O12" s="145" t="s">
        <v>526</v>
      </c>
    </row>
    <row r="13" spans="1:21" ht="15" x14ac:dyDescent="0.2">
      <c r="A13" s="10" t="s">
        <v>1</v>
      </c>
      <c r="B13" s="10" t="s">
        <v>432</v>
      </c>
      <c r="C13" s="10"/>
      <c r="D13" s="10"/>
      <c r="E13" s="10"/>
      <c r="F13" s="10"/>
      <c r="G13" s="10"/>
      <c r="H13" s="10" t="s">
        <v>400</v>
      </c>
      <c r="I13" s="10" t="s">
        <v>517</v>
      </c>
      <c r="J13" s="10"/>
      <c r="K13" s="10"/>
      <c r="L13" s="10"/>
      <c r="M13" s="10"/>
      <c r="N13" s="10"/>
      <c r="O13" s="148" t="s">
        <v>445</v>
      </c>
      <c r="P13" s="148"/>
      <c r="S13" s="10"/>
      <c r="T13" s="10"/>
    </row>
    <row r="14" spans="1:21" ht="15" x14ac:dyDescent="0.2">
      <c r="A14" s="10" t="s">
        <v>0</v>
      </c>
      <c r="B14" s="10" t="s">
        <v>433</v>
      </c>
      <c r="C14" s="10"/>
      <c r="D14" s="10"/>
      <c r="E14" s="10"/>
      <c r="F14" s="10"/>
      <c r="G14" s="10"/>
      <c r="H14" s="10" t="s">
        <v>401</v>
      </c>
      <c r="I14" s="10" t="s">
        <v>518</v>
      </c>
      <c r="J14" s="10"/>
      <c r="K14" s="10"/>
      <c r="L14" s="10"/>
      <c r="M14" s="10"/>
      <c r="N14" s="10"/>
      <c r="O14" s="148" t="s">
        <v>444</v>
      </c>
      <c r="P14" s="148"/>
      <c r="S14" s="10"/>
      <c r="T14" s="10"/>
    </row>
    <row r="15" spans="1:21" ht="15" x14ac:dyDescent="0.2">
      <c r="A15" s="10" t="s">
        <v>2</v>
      </c>
      <c r="B15" s="10" t="s">
        <v>434</v>
      </c>
      <c r="C15" s="10"/>
      <c r="D15" s="10"/>
      <c r="E15" s="10"/>
      <c r="F15" s="10"/>
      <c r="G15" s="10"/>
      <c r="H15" s="10" t="s">
        <v>428</v>
      </c>
      <c r="I15" s="10" t="s">
        <v>519</v>
      </c>
      <c r="J15" s="10"/>
      <c r="K15" s="10"/>
      <c r="L15" s="10"/>
      <c r="M15" s="10"/>
      <c r="N15" s="10"/>
      <c r="O15" s="148" t="s">
        <v>446</v>
      </c>
      <c r="P15" s="148"/>
      <c r="S15" s="10"/>
      <c r="T15" s="10"/>
    </row>
    <row r="16" spans="1:21" ht="15" x14ac:dyDescent="0.2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48" t="s">
        <v>525</v>
      </c>
      <c r="P16" s="148"/>
      <c r="S16" s="10"/>
      <c r="T16" s="10"/>
    </row>
    <row r="17" spans="1:20" ht="15" x14ac:dyDescent="0.2">
      <c r="A17" s="10" t="s">
        <v>516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48" t="s">
        <v>501</v>
      </c>
      <c r="P17" s="148"/>
      <c r="S17" s="10"/>
      <c r="T17" s="10"/>
    </row>
    <row r="18" spans="1:20" ht="15" x14ac:dyDescent="0.2">
      <c r="A18" s="104" t="s">
        <v>281</v>
      </c>
      <c r="B18" s="10" t="s">
        <v>467</v>
      </c>
      <c r="C18" s="10"/>
      <c r="D18" s="104" t="s">
        <v>13</v>
      </c>
      <c r="E18" s="10" t="s">
        <v>466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</row>
    <row r="19" spans="1:20" ht="15" x14ac:dyDescent="0.2">
      <c r="A19" s="104" t="s">
        <v>282</v>
      </c>
      <c r="B19" s="10" t="s">
        <v>464</v>
      </c>
      <c r="C19" s="10"/>
      <c r="D19" s="104" t="s">
        <v>3</v>
      </c>
      <c r="E19" s="10" t="s">
        <v>463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</row>
    <row r="20" spans="1:20" ht="15" x14ac:dyDescent="0.2">
      <c r="A20" s="104" t="s">
        <v>280</v>
      </c>
      <c r="B20" s="10" t="s">
        <v>461</v>
      </c>
      <c r="C20" s="10"/>
      <c r="D20" s="104" t="s">
        <v>17</v>
      </c>
      <c r="E20" s="10" t="s">
        <v>460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</row>
    <row r="21" spans="1:20" ht="15" x14ac:dyDescent="0.2">
      <c r="A21" s="104" t="s">
        <v>279</v>
      </c>
      <c r="B21" s="10" t="s">
        <v>458</v>
      </c>
      <c r="C21" s="10"/>
      <c r="D21" s="104" t="s">
        <v>18</v>
      </c>
      <c r="E21" s="10" t="s">
        <v>457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</row>
    <row r="22" spans="1:20" ht="15" x14ac:dyDescent="0.2">
      <c r="A22" s="104" t="s">
        <v>15</v>
      </c>
      <c r="B22" s="10" t="s">
        <v>455</v>
      </c>
      <c r="C22" s="10"/>
      <c r="D22" s="104" t="s">
        <v>265</v>
      </c>
      <c r="E22" s="10" t="s">
        <v>454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</row>
    <row r="23" spans="1:20" ht="15" x14ac:dyDescent="0.2">
      <c r="A23" s="104" t="s">
        <v>278</v>
      </c>
      <c r="B23" s="10" t="s">
        <v>451</v>
      </c>
      <c r="C23" s="10"/>
      <c r="D23" s="104" t="s">
        <v>341</v>
      </c>
      <c r="E23" s="10" t="s">
        <v>450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</row>
    <row r="24" spans="1:20" ht="15" x14ac:dyDescent="0.2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</row>
    <row r="25" spans="1:20" ht="15.75" x14ac:dyDescent="0.25">
      <c r="A25" s="138" t="s">
        <v>528</v>
      </c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</row>
    <row r="26" spans="1:20" ht="15" x14ac:dyDescent="0.2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</row>
    <row r="27" spans="1:20" ht="15" x14ac:dyDescent="0.2"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</row>
  </sheetData>
  <mergeCells count="6">
    <mergeCell ref="I3:K3"/>
    <mergeCell ref="O17:P17"/>
    <mergeCell ref="O16:P16"/>
    <mergeCell ref="O15:P15"/>
    <mergeCell ref="O14:P14"/>
    <mergeCell ref="O13:P13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cro1" altText="Executar">
                <anchor moveWithCells="1" sizeWithCells="1">
                  <from>
                    <xdr:col>0</xdr:col>
                    <xdr:colOff>57150</xdr:colOff>
                    <xdr:row>25</xdr:row>
                    <xdr:rowOff>133350</xdr:rowOff>
                  </from>
                  <to>
                    <xdr:col>1</xdr:col>
                    <xdr:colOff>333375</xdr:colOff>
                    <xdr:row>27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pageSetUpPr fitToPage="1"/>
  </sheetPr>
  <dimension ref="A1:BD770"/>
  <sheetViews>
    <sheetView topLeftCell="C1" zoomScale="60" zoomScaleNormal="60" workbookViewId="0">
      <selection activeCell="AH47" sqref="AH47"/>
    </sheetView>
  </sheetViews>
  <sheetFormatPr defaultColWidth="4.7109375" defaultRowHeight="18" x14ac:dyDescent="0.25"/>
  <cols>
    <col min="1" max="1" width="3" customWidth="1"/>
    <col min="2" max="2" width="5.42578125" bestFit="1" customWidth="1"/>
    <col min="3" max="3" width="64.7109375" customWidth="1"/>
    <col min="4" max="4" width="16.42578125" customWidth="1"/>
    <col min="5" max="13" width="8.140625" customWidth="1"/>
    <col min="14" max="14" width="8.140625" style="4" customWidth="1"/>
    <col min="15" max="20" width="8.140625" customWidth="1"/>
    <col min="21" max="21" width="8.140625" style="3" customWidth="1"/>
    <col min="22" max="34" width="8.140625" customWidth="1"/>
    <col min="35" max="35" width="6" style="8" customWidth="1"/>
    <col min="36" max="36" width="11.85546875" style="8" customWidth="1"/>
    <col min="37" max="37" width="4" customWidth="1"/>
  </cols>
  <sheetData>
    <row r="1" spans="1:37" ht="21" customHeight="1" x14ac:dyDescent="0.2">
      <c r="A1" s="164"/>
      <c r="B1" s="164"/>
      <c r="C1" s="164"/>
      <c r="D1" s="164"/>
      <c r="E1" s="164"/>
      <c r="F1" s="164"/>
      <c r="G1" s="164"/>
      <c r="H1" s="164"/>
      <c r="I1" s="166" t="s">
        <v>478</v>
      </c>
      <c r="J1" s="162"/>
      <c r="K1" s="162"/>
      <c r="L1" s="162"/>
      <c r="M1" s="162"/>
      <c r="N1" s="162"/>
      <c r="O1" s="162"/>
      <c r="P1" s="162"/>
      <c r="Q1" s="162"/>
      <c r="R1" s="162"/>
      <c r="S1" s="162"/>
      <c r="T1" s="162"/>
      <c r="U1" s="162"/>
      <c r="V1" s="162"/>
      <c r="W1" s="162"/>
      <c r="X1" s="162"/>
      <c r="Y1" s="163" t="s">
        <v>477</v>
      </c>
      <c r="Z1" s="164"/>
      <c r="AA1" s="164"/>
      <c r="AB1" s="164"/>
      <c r="AC1" s="164"/>
      <c r="AD1" s="164"/>
      <c r="AE1" s="164"/>
      <c r="AF1" s="164"/>
      <c r="AG1" s="164"/>
      <c r="AH1" s="164"/>
      <c r="AI1"/>
      <c r="AJ1"/>
    </row>
    <row r="2" spans="1:37" ht="12" customHeight="1" x14ac:dyDescent="0.2">
      <c r="A2" s="164"/>
      <c r="B2" s="164"/>
      <c r="C2" s="164"/>
      <c r="D2" s="164"/>
      <c r="E2" s="164"/>
      <c r="F2" s="164"/>
      <c r="G2" s="164"/>
      <c r="H2" s="164"/>
      <c r="I2" s="162" t="s">
        <v>476</v>
      </c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4"/>
      <c r="Z2" s="164"/>
      <c r="AA2" s="164"/>
      <c r="AB2" s="164"/>
      <c r="AC2" s="164"/>
      <c r="AD2" s="164"/>
      <c r="AE2" s="164"/>
      <c r="AF2" s="164"/>
      <c r="AG2" s="164"/>
      <c r="AH2" s="164"/>
      <c r="AI2"/>
      <c r="AJ2"/>
    </row>
    <row r="3" spans="1:37" ht="12" customHeight="1" x14ac:dyDescent="0.2">
      <c r="A3" s="164"/>
      <c r="B3" s="164"/>
      <c r="C3" s="164"/>
      <c r="D3" s="164"/>
      <c r="E3" s="164"/>
      <c r="F3" s="164"/>
      <c r="G3" s="164"/>
      <c r="H3" s="164"/>
      <c r="I3" s="162" t="s">
        <v>331</v>
      </c>
      <c r="J3" s="162"/>
      <c r="K3" s="162"/>
      <c r="L3" s="162"/>
      <c r="M3" s="162"/>
      <c r="N3" s="162"/>
      <c r="O3" s="162"/>
      <c r="P3" s="162"/>
      <c r="Q3" s="162"/>
      <c r="R3" s="162"/>
      <c r="S3" s="162"/>
      <c r="T3" s="162"/>
      <c r="U3" s="162"/>
      <c r="V3" s="162"/>
      <c r="W3" s="162"/>
      <c r="X3" s="162"/>
      <c r="Y3" s="164"/>
      <c r="Z3" s="164"/>
      <c r="AA3" s="164"/>
      <c r="AB3" s="164"/>
      <c r="AC3" s="164"/>
      <c r="AD3" s="164"/>
      <c r="AE3" s="164"/>
      <c r="AF3" s="164"/>
      <c r="AG3" s="164"/>
      <c r="AH3" s="164"/>
      <c r="AI3"/>
      <c r="AJ3"/>
    </row>
    <row r="4" spans="1:37" ht="12" customHeight="1" thickBot="1" x14ac:dyDescent="0.25">
      <c r="A4" s="165"/>
      <c r="B4" s="165"/>
      <c r="C4" s="165"/>
      <c r="D4" s="165"/>
      <c r="E4" s="165"/>
      <c r="F4" s="165"/>
      <c r="G4" s="165"/>
      <c r="H4" s="165"/>
      <c r="I4" s="167" t="s">
        <v>320</v>
      </c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0" t="s">
        <v>475</v>
      </c>
      <c r="Z4" s="159"/>
      <c r="AA4" s="159"/>
      <c r="AB4" s="159"/>
      <c r="AC4" s="159"/>
      <c r="AD4" s="37" t="s">
        <v>474</v>
      </c>
      <c r="AE4" s="158">
        <v>2016</v>
      </c>
      <c r="AF4" s="159"/>
      <c r="AG4" s="159"/>
      <c r="AH4" s="159"/>
      <c r="AI4" s="30"/>
      <c r="AJ4" s="30"/>
      <c r="AK4" s="30"/>
    </row>
    <row r="5" spans="1:37" ht="13.5" customHeight="1" x14ac:dyDescent="0.25">
      <c r="A5" s="161" t="s">
        <v>473</v>
      </c>
      <c r="B5" s="161"/>
      <c r="C5" s="161"/>
      <c r="D5" s="169"/>
      <c r="E5" s="161" t="s">
        <v>472</v>
      </c>
      <c r="F5" s="169"/>
      <c r="G5" s="169"/>
      <c r="H5" s="169"/>
      <c r="I5" s="169"/>
      <c r="J5" s="169"/>
      <c r="K5" s="169"/>
      <c r="L5" s="169"/>
      <c r="M5" s="161" t="s">
        <v>471</v>
      </c>
      <c r="N5" s="161"/>
      <c r="O5" s="161"/>
      <c r="P5" s="161"/>
      <c r="Q5" s="161"/>
      <c r="R5" s="161"/>
      <c r="S5" s="161"/>
      <c r="T5" s="161"/>
      <c r="U5" s="161"/>
      <c r="V5" s="161"/>
      <c r="W5" s="161"/>
      <c r="X5" s="161"/>
      <c r="Y5" s="161"/>
      <c r="Z5" s="161" t="s">
        <v>470</v>
      </c>
      <c r="AA5" s="169"/>
      <c r="AB5" s="169"/>
      <c r="AC5" s="169"/>
      <c r="AD5" s="169"/>
      <c r="AE5" s="169"/>
      <c r="AF5" s="169"/>
      <c r="AG5" s="169"/>
      <c r="AH5" s="169"/>
      <c r="AI5" s="1"/>
      <c r="AJ5" s="1"/>
    </row>
    <row r="6" spans="1:37" ht="17.25" customHeight="1" x14ac:dyDescent="0.2">
      <c r="A6" s="157" t="s">
        <v>469</v>
      </c>
      <c r="B6" s="157"/>
      <c r="C6" s="157" t="s">
        <v>468</v>
      </c>
      <c r="D6" s="157"/>
      <c r="E6" s="155" t="s">
        <v>25</v>
      </c>
      <c r="F6" s="155"/>
      <c r="G6" s="155"/>
      <c r="H6" s="38" t="s">
        <v>113</v>
      </c>
      <c r="I6" s="106" t="s">
        <v>28</v>
      </c>
      <c r="J6" s="107" t="s">
        <v>164</v>
      </c>
      <c r="K6" s="156" t="s">
        <v>28</v>
      </c>
      <c r="L6" s="157"/>
      <c r="M6" s="162" t="s">
        <v>29</v>
      </c>
      <c r="N6" s="162"/>
      <c r="O6" s="162"/>
      <c r="P6" s="107" t="s">
        <v>44</v>
      </c>
      <c r="Q6" s="104" t="s">
        <v>31</v>
      </c>
      <c r="R6" s="105" t="s">
        <v>32</v>
      </c>
      <c r="S6" s="162" t="s">
        <v>125</v>
      </c>
      <c r="T6" s="162"/>
      <c r="U6" s="162"/>
      <c r="V6" s="162"/>
      <c r="W6" s="162"/>
      <c r="X6" s="162"/>
      <c r="Y6" s="39" t="s">
        <v>161</v>
      </c>
      <c r="Z6" s="155" t="s">
        <v>281</v>
      </c>
      <c r="AA6" s="155"/>
      <c r="AB6" s="157" t="s">
        <v>467</v>
      </c>
      <c r="AC6" s="157"/>
      <c r="AD6" s="157"/>
      <c r="AE6" s="104" t="s">
        <v>13</v>
      </c>
      <c r="AF6" s="157" t="s">
        <v>466</v>
      </c>
      <c r="AG6" s="157"/>
      <c r="AH6" s="157"/>
      <c r="AI6" s="1"/>
      <c r="AJ6" s="1"/>
    </row>
    <row r="7" spans="1:37" ht="17.25" customHeight="1" x14ac:dyDescent="0.2">
      <c r="A7" s="157" t="s">
        <v>465</v>
      </c>
      <c r="B7" s="157"/>
      <c r="C7" s="157" t="s">
        <v>21</v>
      </c>
      <c r="D7" s="157"/>
      <c r="E7" s="155" t="s">
        <v>39</v>
      </c>
      <c r="F7" s="155"/>
      <c r="G7" s="155"/>
      <c r="H7" s="38" t="s">
        <v>163</v>
      </c>
      <c r="I7" s="106" t="s">
        <v>28</v>
      </c>
      <c r="J7" s="107" t="s">
        <v>208</v>
      </c>
      <c r="K7" s="156" t="s">
        <v>28</v>
      </c>
      <c r="L7" s="157"/>
      <c r="M7" s="162" t="s">
        <v>43</v>
      </c>
      <c r="N7" s="162"/>
      <c r="O7" s="162"/>
      <c r="P7" s="107" t="s">
        <v>44</v>
      </c>
      <c r="Q7" s="104" t="s">
        <v>31</v>
      </c>
      <c r="R7" s="105" t="s">
        <v>32</v>
      </c>
      <c r="S7" s="162" t="s">
        <v>171</v>
      </c>
      <c r="T7" s="162"/>
      <c r="U7" s="162"/>
      <c r="V7" s="162"/>
      <c r="W7" s="162"/>
      <c r="X7" s="162"/>
      <c r="Y7" s="39" t="s">
        <v>205</v>
      </c>
      <c r="Z7" s="155" t="s">
        <v>282</v>
      </c>
      <c r="AA7" s="155"/>
      <c r="AB7" s="157" t="s">
        <v>464</v>
      </c>
      <c r="AC7" s="157"/>
      <c r="AD7" s="157"/>
      <c r="AE7" s="104" t="s">
        <v>3</v>
      </c>
      <c r="AF7" s="157" t="s">
        <v>463</v>
      </c>
      <c r="AG7" s="157"/>
      <c r="AH7" s="157"/>
      <c r="AI7" s="1"/>
      <c r="AJ7" s="1"/>
    </row>
    <row r="8" spans="1:37" ht="17.25" customHeight="1" x14ac:dyDescent="0.2">
      <c r="A8" s="157" t="s">
        <v>462</v>
      </c>
      <c r="B8" s="157"/>
      <c r="C8" s="157" t="s">
        <v>168</v>
      </c>
      <c r="D8" s="157"/>
      <c r="E8" s="155" t="s">
        <v>54</v>
      </c>
      <c r="F8" s="155"/>
      <c r="G8" s="155"/>
      <c r="H8" s="38" t="s">
        <v>207</v>
      </c>
      <c r="I8" s="106" t="s">
        <v>28</v>
      </c>
      <c r="J8" s="107" t="s">
        <v>114</v>
      </c>
      <c r="K8" s="156" t="s">
        <v>28</v>
      </c>
      <c r="L8" s="157"/>
      <c r="M8" s="162" t="s">
        <v>58</v>
      </c>
      <c r="N8" s="162"/>
      <c r="O8" s="162"/>
      <c r="P8" s="107" t="s">
        <v>44</v>
      </c>
      <c r="Q8" s="104" t="s">
        <v>31</v>
      </c>
      <c r="R8" s="105" t="s">
        <v>32</v>
      </c>
      <c r="S8" s="162" t="s">
        <v>33</v>
      </c>
      <c r="T8" s="162"/>
      <c r="U8" s="162"/>
      <c r="V8" s="162"/>
      <c r="W8" s="162"/>
      <c r="X8" s="162"/>
      <c r="Y8" s="39" t="s">
        <v>109</v>
      </c>
      <c r="Z8" s="155" t="s">
        <v>280</v>
      </c>
      <c r="AA8" s="155"/>
      <c r="AB8" s="157" t="s">
        <v>461</v>
      </c>
      <c r="AC8" s="157"/>
      <c r="AD8" s="157"/>
      <c r="AE8" s="104" t="s">
        <v>17</v>
      </c>
      <c r="AF8" s="157" t="s">
        <v>460</v>
      </c>
      <c r="AG8" s="157"/>
      <c r="AH8" s="157"/>
      <c r="AI8" s="1"/>
      <c r="AJ8" s="1"/>
    </row>
    <row r="9" spans="1:37" ht="17.25" customHeight="1" x14ac:dyDescent="0.2">
      <c r="A9" s="157" t="s">
        <v>459</v>
      </c>
      <c r="B9" s="157"/>
      <c r="C9" s="157" t="s">
        <v>272</v>
      </c>
      <c r="D9" s="157"/>
      <c r="E9" s="155"/>
      <c r="F9" s="155"/>
      <c r="G9" s="155"/>
      <c r="H9" s="38"/>
      <c r="I9" s="106"/>
      <c r="J9" s="107"/>
      <c r="K9" s="156"/>
      <c r="L9" s="157"/>
      <c r="M9" s="162"/>
      <c r="N9" s="162"/>
      <c r="O9" s="162"/>
      <c r="P9" s="107"/>
      <c r="Q9" s="104"/>
      <c r="R9" s="105"/>
      <c r="S9" s="162"/>
      <c r="T9" s="162"/>
      <c r="U9" s="162"/>
      <c r="V9" s="162"/>
      <c r="W9" s="162"/>
      <c r="X9" s="162"/>
      <c r="Y9" s="39"/>
      <c r="Z9" s="155" t="s">
        <v>279</v>
      </c>
      <c r="AA9" s="155"/>
      <c r="AB9" s="157" t="s">
        <v>458</v>
      </c>
      <c r="AC9" s="157"/>
      <c r="AD9" s="157"/>
      <c r="AE9" s="104" t="s">
        <v>18</v>
      </c>
      <c r="AF9" s="157" t="s">
        <v>457</v>
      </c>
      <c r="AG9" s="157"/>
      <c r="AH9" s="157"/>
      <c r="AI9" s="1"/>
      <c r="AJ9" s="1"/>
    </row>
    <row r="10" spans="1:37" ht="17.25" customHeight="1" x14ac:dyDescent="0.2">
      <c r="A10" s="157" t="s">
        <v>456</v>
      </c>
      <c r="B10" s="157"/>
      <c r="C10" s="157" t="s">
        <v>12</v>
      </c>
      <c r="D10" s="157"/>
      <c r="E10" s="155"/>
      <c r="F10" s="155"/>
      <c r="G10" s="155"/>
      <c r="H10" s="38"/>
      <c r="I10" s="39"/>
      <c r="J10" s="107"/>
      <c r="K10" s="156"/>
      <c r="L10" s="157"/>
      <c r="M10" s="162"/>
      <c r="N10" s="162"/>
      <c r="O10" s="162"/>
      <c r="P10" s="104"/>
      <c r="Q10" s="104"/>
      <c r="R10" s="104"/>
      <c r="S10" s="162"/>
      <c r="T10" s="162"/>
      <c r="U10" s="162"/>
      <c r="V10" s="162"/>
      <c r="W10" s="162"/>
      <c r="X10" s="162"/>
      <c r="Y10" s="39"/>
      <c r="Z10" s="155" t="s">
        <v>15</v>
      </c>
      <c r="AA10" s="155"/>
      <c r="AB10" s="157" t="s">
        <v>455</v>
      </c>
      <c r="AC10" s="157"/>
      <c r="AD10" s="157"/>
      <c r="AE10" s="104" t="s">
        <v>265</v>
      </c>
      <c r="AF10" s="157" t="s">
        <v>454</v>
      </c>
      <c r="AG10" s="157"/>
      <c r="AH10" s="157"/>
    </row>
    <row r="11" spans="1:37" ht="17.25" customHeight="1" x14ac:dyDescent="0.2">
      <c r="A11" s="157"/>
      <c r="B11" s="157"/>
      <c r="C11" s="157"/>
      <c r="D11" s="157"/>
      <c r="E11" s="155"/>
      <c r="F11" s="155"/>
      <c r="G11" s="155"/>
      <c r="H11" s="38"/>
      <c r="I11" s="39"/>
      <c r="J11" s="107"/>
      <c r="K11" s="156"/>
      <c r="L11" s="157"/>
      <c r="M11" s="162"/>
      <c r="N11" s="162"/>
      <c r="O11" s="162"/>
      <c r="P11" s="104" t="s">
        <v>453</v>
      </c>
      <c r="Q11" s="104"/>
      <c r="R11" s="104"/>
      <c r="S11" s="162" t="s">
        <v>452</v>
      </c>
      <c r="T11" s="162"/>
      <c r="U11" s="162"/>
      <c r="V11" s="162"/>
      <c r="W11" s="162"/>
      <c r="X11" s="162"/>
      <c r="Y11" s="39"/>
      <c r="Z11" s="155" t="s">
        <v>278</v>
      </c>
      <c r="AA11" s="155"/>
      <c r="AB11" s="157" t="s">
        <v>451</v>
      </c>
      <c r="AC11" s="157"/>
      <c r="AD11" s="157"/>
      <c r="AE11" s="104" t="s">
        <v>341</v>
      </c>
      <c r="AF11" s="157" t="s">
        <v>450</v>
      </c>
      <c r="AG11" s="157"/>
      <c r="AH11" s="157"/>
      <c r="AI11" s="1"/>
      <c r="AJ11" s="1"/>
    </row>
    <row r="12" spans="1:37" ht="17.25" customHeight="1" x14ac:dyDescent="0.2">
      <c r="A12" s="157"/>
      <c r="B12" s="157"/>
      <c r="C12" s="157"/>
      <c r="D12" s="157"/>
      <c r="E12" s="155"/>
      <c r="F12" s="155"/>
      <c r="G12" s="155"/>
      <c r="H12" s="38"/>
      <c r="I12" s="39"/>
      <c r="J12" s="107"/>
      <c r="K12" s="156"/>
      <c r="L12" s="157"/>
      <c r="M12" s="162"/>
      <c r="N12" s="162"/>
      <c r="O12" s="162"/>
      <c r="P12" s="104"/>
      <c r="Q12" s="104"/>
      <c r="R12" s="104"/>
      <c r="S12" s="162"/>
      <c r="T12" s="162"/>
      <c r="U12" s="162"/>
      <c r="V12" s="162"/>
      <c r="W12" s="162"/>
      <c r="X12" s="162"/>
      <c r="Y12" s="39"/>
      <c r="Z12" s="162"/>
      <c r="AA12" s="162"/>
      <c r="AB12" s="162"/>
      <c r="AC12" s="162"/>
      <c r="AD12" s="162"/>
      <c r="AE12" s="162"/>
      <c r="AF12" s="162"/>
      <c r="AG12" s="162"/>
      <c r="AH12" s="162"/>
      <c r="AI12" s="1"/>
      <c r="AJ12" s="1"/>
    </row>
    <row r="13" spans="1:37" ht="4.5" customHeight="1" x14ac:dyDescent="0.2">
      <c r="A13" s="171"/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2"/>
      <c r="AI13" s="1"/>
      <c r="AJ13" s="1"/>
    </row>
    <row r="14" spans="1:37" ht="15" customHeight="1" x14ac:dyDescent="0.2">
      <c r="A14" s="170"/>
      <c r="B14" s="151" t="s">
        <v>268</v>
      </c>
      <c r="C14" s="151" t="s">
        <v>4</v>
      </c>
      <c r="D14" s="151" t="s">
        <v>5</v>
      </c>
      <c r="E14" s="42" t="s">
        <v>388</v>
      </c>
      <c r="F14" s="42" t="s">
        <v>389</v>
      </c>
      <c r="G14" s="42" t="s">
        <v>390</v>
      </c>
      <c r="H14" s="42" t="s">
        <v>391</v>
      </c>
      <c r="I14" s="42" t="s">
        <v>392</v>
      </c>
      <c r="J14" s="42" t="s">
        <v>386</v>
      </c>
      <c r="K14" s="42" t="s">
        <v>387</v>
      </c>
      <c r="L14" s="42" t="s">
        <v>388</v>
      </c>
      <c r="M14" s="42" t="s">
        <v>389</v>
      </c>
      <c r="N14" s="42" t="s">
        <v>390</v>
      </c>
      <c r="O14" s="42" t="s">
        <v>391</v>
      </c>
      <c r="P14" s="42" t="s">
        <v>392</v>
      </c>
      <c r="Q14" s="42" t="s">
        <v>386</v>
      </c>
      <c r="R14" s="42" t="s">
        <v>387</v>
      </c>
      <c r="S14" s="42" t="s">
        <v>388</v>
      </c>
      <c r="T14" s="42" t="s">
        <v>389</v>
      </c>
      <c r="U14" s="42" t="s">
        <v>390</v>
      </c>
      <c r="V14" s="42" t="s">
        <v>391</v>
      </c>
      <c r="W14" s="42" t="s">
        <v>392</v>
      </c>
      <c r="X14" s="42" t="s">
        <v>386</v>
      </c>
      <c r="Y14" s="42" t="s">
        <v>387</v>
      </c>
      <c r="Z14" s="42" t="s">
        <v>388</v>
      </c>
      <c r="AA14" s="42" t="s">
        <v>389</v>
      </c>
      <c r="AB14" s="42" t="s">
        <v>390</v>
      </c>
      <c r="AC14" s="42" t="s">
        <v>391</v>
      </c>
      <c r="AD14" s="42" t="s">
        <v>392</v>
      </c>
      <c r="AE14" s="42" t="s">
        <v>386</v>
      </c>
      <c r="AF14" s="42" t="s">
        <v>387</v>
      </c>
      <c r="AG14" s="42" t="s">
        <v>388</v>
      </c>
      <c r="AH14" s="42" t="s">
        <v>389</v>
      </c>
      <c r="AI14"/>
      <c r="AJ14" s="153" t="s">
        <v>393</v>
      </c>
    </row>
    <row r="15" spans="1:37" ht="15" customHeight="1" x14ac:dyDescent="0.2">
      <c r="A15" s="170"/>
      <c r="B15" s="152"/>
      <c r="C15" s="151"/>
      <c r="D15" s="152"/>
      <c r="E15" s="67">
        <v>1</v>
      </c>
      <c r="F15" s="67">
        <v>2</v>
      </c>
      <c r="G15" s="67">
        <v>3</v>
      </c>
      <c r="H15" s="67">
        <v>4</v>
      </c>
      <c r="I15" s="67">
        <v>5</v>
      </c>
      <c r="J15" s="67">
        <v>6</v>
      </c>
      <c r="K15" s="67">
        <v>7</v>
      </c>
      <c r="L15" s="67">
        <v>8</v>
      </c>
      <c r="M15" s="67">
        <v>9</v>
      </c>
      <c r="N15" s="67">
        <v>10</v>
      </c>
      <c r="O15" s="67">
        <v>11</v>
      </c>
      <c r="P15" s="67">
        <v>12</v>
      </c>
      <c r="Q15" s="67">
        <v>13</v>
      </c>
      <c r="R15" s="67">
        <v>14</v>
      </c>
      <c r="S15" s="67">
        <v>15</v>
      </c>
      <c r="T15" s="67">
        <v>16</v>
      </c>
      <c r="U15" s="67">
        <v>17</v>
      </c>
      <c r="V15" s="67">
        <v>18</v>
      </c>
      <c r="W15" s="67">
        <v>19</v>
      </c>
      <c r="X15" s="67">
        <v>20</v>
      </c>
      <c r="Y15" s="67">
        <v>21</v>
      </c>
      <c r="Z15" s="67">
        <v>22</v>
      </c>
      <c r="AA15" s="67">
        <v>23</v>
      </c>
      <c r="AB15" s="67">
        <v>24</v>
      </c>
      <c r="AC15" s="67">
        <v>25</v>
      </c>
      <c r="AD15" s="67">
        <v>26</v>
      </c>
      <c r="AE15" s="67">
        <v>27</v>
      </c>
      <c r="AF15" s="67">
        <v>28</v>
      </c>
      <c r="AG15" s="67">
        <v>29</v>
      </c>
      <c r="AH15" s="67">
        <v>30</v>
      </c>
      <c r="AI15"/>
      <c r="AJ15" s="154"/>
    </row>
    <row r="16" spans="1:37" s="9" customFormat="1" ht="20.100000000000001" customHeight="1" x14ac:dyDescent="0.2">
      <c r="A16" s="41"/>
      <c r="B16" s="48">
        <v>1</v>
      </c>
      <c r="C16" s="49" t="s">
        <v>403</v>
      </c>
      <c r="D16" s="50" t="s">
        <v>342</v>
      </c>
      <c r="E16" s="43" t="s">
        <v>0</v>
      </c>
      <c r="F16" s="43" t="s">
        <v>0</v>
      </c>
      <c r="G16" s="43" t="s">
        <v>0</v>
      </c>
      <c r="H16" s="43" t="s">
        <v>19</v>
      </c>
      <c r="I16" s="43" t="s">
        <v>19</v>
      </c>
      <c r="J16" s="43" t="s">
        <v>2</v>
      </c>
      <c r="K16" s="43" t="s">
        <v>2</v>
      </c>
      <c r="L16" s="43" t="s">
        <v>2</v>
      </c>
      <c r="M16" s="43" t="s">
        <v>19</v>
      </c>
      <c r="N16" s="43" t="s">
        <v>19</v>
      </c>
      <c r="O16" s="43" t="s">
        <v>1</v>
      </c>
      <c r="P16" s="43" t="s">
        <v>1</v>
      </c>
      <c r="Q16" s="43" t="s">
        <v>1</v>
      </c>
      <c r="R16" s="43" t="s">
        <v>19</v>
      </c>
      <c r="S16" s="43" t="s">
        <v>19</v>
      </c>
      <c r="T16" s="43" t="s">
        <v>0</v>
      </c>
      <c r="U16" s="43" t="s">
        <v>0</v>
      </c>
      <c r="V16" s="43" t="s">
        <v>0</v>
      </c>
      <c r="W16" s="43" t="s">
        <v>19</v>
      </c>
      <c r="X16" s="43" t="s">
        <v>19</v>
      </c>
      <c r="Y16" s="43" t="s">
        <v>2</v>
      </c>
      <c r="Z16" s="43" t="s">
        <v>2</v>
      </c>
      <c r="AA16" s="43" t="s">
        <v>2</v>
      </c>
      <c r="AB16" s="43" t="s">
        <v>19</v>
      </c>
      <c r="AC16" s="43" t="s">
        <v>19</v>
      </c>
      <c r="AD16" s="43" t="s">
        <v>1</v>
      </c>
      <c r="AE16" s="43" t="s">
        <v>1</v>
      </c>
      <c r="AF16" s="43" t="s">
        <v>1</v>
      </c>
      <c r="AG16" s="43" t="s">
        <v>19</v>
      </c>
      <c r="AH16" s="43" t="s">
        <v>19</v>
      </c>
      <c r="AJ16" s="42">
        <f t="shared" ref="AJ16:AJ49" si="0">((COUNTIF(E16:AH16,"A")+COUNTIF(E16:AH16,"B")+COUNTIF(E16:AH16,"C")+COUNTIF(E16:AH16,"HEA")+COUNTIF(E16:AH16,"HEB")+COUNTIF(E16:AH16,"HEC"))*8)+((COUNTIF(E16:AH16,"A/HE")+COUNTIF(E16:AH16,"B/HE")+COUNTIF(E16:AH16,"C/HE")+COUNTIF(E16:AH16,"HE/A")+COUNTIF(E16:AH16,"HE/B")++COUNTIF(E16:AH16,"HE/C"))*12)</f>
        <v>144</v>
      </c>
    </row>
    <row r="17" spans="1:56" s="9" customFormat="1" ht="20.100000000000001" customHeight="1" x14ac:dyDescent="0.2">
      <c r="A17" s="41"/>
      <c r="B17" s="48">
        <v>2</v>
      </c>
      <c r="C17" s="49" t="s">
        <v>416</v>
      </c>
      <c r="D17" s="50" t="s">
        <v>343</v>
      </c>
      <c r="E17" s="43" t="s">
        <v>0</v>
      </c>
      <c r="F17" s="43" t="s">
        <v>0</v>
      </c>
      <c r="G17" s="43" t="s">
        <v>0</v>
      </c>
      <c r="H17" s="43" t="s">
        <v>19</v>
      </c>
      <c r="I17" s="43" t="s">
        <v>19</v>
      </c>
      <c r="J17" s="43" t="s">
        <v>2</v>
      </c>
      <c r="K17" s="43" t="s">
        <v>2</v>
      </c>
      <c r="L17" s="43" t="s">
        <v>2</v>
      </c>
      <c r="M17" s="43" t="s">
        <v>19</v>
      </c>
      <c r="N17" s="43" t="s">
        <v>19</v>
      </c>
      <c r="O17" s="43" t="s">
        <v>1</v>
      </c>
      <c r="P17" s="43" t="s">
        <v>1</v>
      </c>
      <c r="Q17" s="43" t="s">
        <v>1</v>
      </c>
      <c r="R17" s="43" t="s">
        <v>19</v>
      </c>
      <c r="S17" s="43" t="s">
        <v>19</v>
      </c>
      <c r="T17" s="43" t="s">
        <v>0</v>
      </c>
      <c r="U17" s="43" t="s">
        <v>0</v>
      </c>
      <c r="V17" s="43" t="s">
        <v>0</v>
      </c>
      <c r="W17" s="43" t="s">
        <v>19</v>
      </c>
      <c r="X17" s="43" t="s">
        <v>19</v>
      </c>
      <c r="Y17" s="43" t="s">
        <v>2</v>
      </c>
      <c r="Z17" s="43" t="s">
        <v>2</v>
      </c>
      <c r="AA17" s="43" t="s">
        <v>2</v>
      </c>
      <c r="AB17" s="43" t="s">
        <v>19</v>
      </c>
      <c r="AC17" s="43" t="s">
        <v>19</v>
      </c>
      <c r="AD17" s="43" t="s">
        <v>1</v>
      </c>
      <c r="AE17" s="43" t="s">
        <v>1</v>
      </c>
      <c r="AF17" s="43" t="s">
        <v>1</v>
      </c>
      <c r="AG17" s="51" t="s">
        <v>400</v>
      </c>
      <c r="AH17" s="43" t="s">
        <v>19</v>
      </c>
      <c r="AJ17" s="42">
        <f t="shared" si="0"/>
        <v>152</v>
      </c>
    </row>
    <row r="18" spans="1:56" s="9" customFormat="1" ht="20.100000000000001" customHeight="1" x14ac:dyDescent="0.2">
      <c r="A18" s="41"/>
      <c r="B18" s="48">
        <v>3</v>
      </c>
      <c r="C18" s="49" t="s">
        <v>398</v>
      </c>
      <c r="D18" s="50" t="s">
        <v>344</v>
      </c>
      <c r="E18" s="46" t="s">
        <v>19</v>
      </c>
      <c r="F18" s="46" t="s">
        <v>19</v>
      </c>
      <c r="G18" s="46" t="s">
        <v>19</v>
      </c>
      <c r="H18" s="43" t="s">
        <v>19</v>
      </c>
      <c r="I18" s="43" t="s">
        <v>19</v>
      </c>
      <c r="J18" s="47" t="s">
        <v>16</v>
      </c>
      <c r="K18" s="47" t="s">
        <v>16</v>
      </c>
      <c r="L18" s="47" t="s">
        <v>16</v>
      </c>
      <c r="M18" s="47" t="s">
        <v>16</v>
      </c>
      <c r="N18" s="47" t="s">
        <v>16</v>
      </c>
      <c r="O18" s="47" t="s">
        <v>16</v>
      </c>
      <c r="P18" s="47" t="s">
        <v>16</v>
      </c>
      <c r="Q18" s="47" t="s">
        <v>16</v>
      </c>
      <c r="R18" s="47" t="s">
        <v>16</v>
      </c>
      <c r="S18" s="47" t="s">
        <v>16</v>
      </c>
      <c r="T18" s="47" t="s">
        <v>16</v>
      </c>
      <c r="U18" s="47" t="s">
        <v>16</v>
      </c>
      <c r="V18" s="47" t="s">
        <v>16</v>
      </c>
      <c r="W18" s="47" t="s">
        <v>16</v>
      </c>
      <c r="X18" s="47" t="s">
        <v>16</v>
      </c>
      <c r="Y18" s="46" t="s">
        <v>19</v>
      </c>
      <c r="Z18" s="46" t="s">
        <v>19</v>
      </c>
      <c r="AA18" s="46" t="s">
        <v>449</v>
      </c>
      <c r="AB18" s="46" t="s">
        <v>1</v>
      </c>
      <c r="AC18" s="46" t="s">
        <v>1</v>
      </c>
      <c r="AD18" s="108"/>
      <c r="AE18" s="46" t="s">
        <v>19</v>
      </c>
      <c r="AF18" s="46" t="s">
        <v>0</v>
      </c>
      <c r="AG18" s="46" t="s">
        <v>0</v>
      </c>
      <c r="AH18" s="46" t="s">
        <v>0</v>
      </c>
      <c r="AJ18" s="42">
        <f t="shared" si="0"/>
        <v>52</v>
      </c>
    </row>
    <row r="19" spans="1:56" s="9" customFormat="1" ht="19.5" customHeight="1" x14ac:dyDescent="0.2">
      <c r="A19" s="41"/>
      <c r="B19" s="48">
        <v>4</v>
      </c>
      <c r="C19" s="49" t="s">
        <v>404</v>
      </c>
      <c r="D19" s="50" t="s">
        <v>345</v>
      </c>
      <c r="E19" s="43" t="s">
        <v>0</v>
      </c>
      <c r="F19" s="43" t="s">
        <v>0</v>
      </c>
      <c r="G19" s="43" t="s">
        <v>0</v>
      </c>
      <c r="H19" s="43" t="s">
        <v>19</v>
      </c>
      <c r="I19" s="43" t="s">
        <v>19</v>
      </c>
      <c r="J19" s="46" t="s">
        <v>1</v>
      </c>
      <c r="K19" s="46" t="s">
        <v>1</v>
      </c>
      <c r="L19" s="46" t="s">
        <v>19</v>
      </c>
      <c r="M19" s="43" t="s">
        <v>19</v>
      </c>
      <c r="N19" s="43" t="s">
        <v>19</v>
      </c>
      <c r="O19" s="43" t="s">
        <v>1</v>
      </c>
      <c r="P19" s="43" t="s">
        <v>1</v>
      </c>
      <c r="Q19" s="43" t="s">
        <v>1</v>
      </c>
      <c r="R19" s="43" t="s">
        <v>19</v>
      </c>
      <c r="S19" s="43" t="s">
        <v>19</v>
      </c>
      <c r="T19" s="43" t="s">
        <v>0</v>
      </c>
      <c r="U19" s="43" t="s">
        <v>0</v>
      </c>
      <c r="V19" s="43" t="s">
        <v>0</v>
      </c>
      <c r="W19" s="43" t="s">
        <v>19</v>
      </c>
      <c r="X19" s="43" t="s">
        <v>19</v>
      </c>
      <c r="Y19" s="73" t="s">
        <v>424</v>
      </c>
      <c r="Z19" s="46" t="s">
        <v>0</v>
      </c>
      <c r="AA19" s="47" t="s">
        <v>265</v>
      </c>
      <c r="AB19" s="43" t="s">
        <v>19</v>
      </c>
      <c r="AC19" s="43" t="s">
        <v>19</v>
      </c>
      <c r="AD19" s="43" t="s">
        <v>1</v>
      </c>
      <c r="AE19" s="43" t="s">
        <v>1</v>
      </c>
      <c r="AF19" s="43" t="s">
        <v>1</v>
      </c>
      <c r="AG19" s="46" t="s">
        <v>1</v>
      </c>
      <c r="AH19" s="43" t="s">
        <v>19</v>
      </c>
      <c r="AJ19" s="42">
        <f t="shared" si="0"/>
        <v>128</v>
      </c>
    </row>
    <row r="20" spans="1:56" s="9" customFormat="1" ht="19.5" customHeight="1" x14ac:dyDescent="0.2">
      <c r="A20" s="41"/>
      <c r="B20" s="48">
        <v>5</v>
      </c>
      <c r="C20" s="49" t="s">
        <v>399</v>
      </c>
      <c r="D20" s="50" t="s">
        <v>346</v>
      </c>
      <c r="E20" s="47" t="s">
        <v>16</v>
      </c>
      <c r="F20" s="47" t="s">
        <v>16</v>
      </c>
      <c r="G20" s="47" t="s">
        <v>16</v>
      </c>
      <c r="H20" s="47" t="s">
        <v>16</v>
      </c>
      <c r="I20" s="47" t="s">
        <v>16</v>
      </c>
      <c r="J20" s="47" t="s">
        <v>16</v>
      </c>
      <c r="K20" s="47" t="s">
        <v>16</v>
      </c>
      <c r="L20" s="47" t="s">
        <v>16</v>
      </c>
      <c r="M20" s="47" t="s">
        <v>16</v>
      </c>
      <c r="N20" s="47" t="s">
        <v>16</v>
      </c>
      <c r="O20" s="47" t="s">
        <v>16</v>
      </c>
      <c r="P20" s="47" t="s">
        <v>16</v>
      </c>
      <c r="Q20" s="46" t="s">
        <v>19</v>
      </c>
      <c r="R20" s="43" t="s">
        <v>19</v>
      </c>
      <c r="S20" s="43" t="s">
        <v>19</v>
      </c>
      <c r="T20" s="43" t="s">
        <v>0</v>
      </c>
      <c r="U20" s="43" t="s">
        <v>0</v>
      </c>
      <c r="V20" s="43" t="s">
        <v>0</v>
      </c>
      <c r="W20" s="43" t="s">
        <v>19</v>
      </c>
      <c r="X20" s="43" t="s">
        <v>19</v>
      </c>
      <c r="Y20" s="110"/>
      <c r="Z20" s="43" t="s">
        <v>2</v>
      </c>
      <c r="AA20" s="43" t="s">
        <v>415</v>
      </c>
      <c r="AB20" s="43" t="s">
        <v>19</v>
      </c>
      <c r="AC20" s="43" t="s">
        <v>19</v>
      </c>
      <c r="AD20" s="43" t="s">
        <v>1</v>
      </c>
      <c r="AE20" s="43" t="s">
        <v>1</v>
      </c>
      <c r="AF20" s="43" t="s">
        <v>1</v>
      </c>
      <c r="AG20" s="51" t="s">
        <v>400</v>
      </c>
      <c r="AH20" s="43" t="s">
        <v>19</v>
      </c>
      <c r="AJ20" s="42">
        <f t="shared" si="0"/>
        <v>76</v>
      </c>
    </row>
    <row r="21" spans="1:56" s="9" customFormat="1" ht="19.5" customHeight="1" x14ac:dyDescent="0.2">
      <c r="A21" s="41"/>
      <c r="B21" s="48">
        <v>6</v>
      </c>
      <c r="C21" s="49" t="s">
        <v>347</v>
      </c>
      <c r="D21" s="50" t="s">
        <v>348</v>
      </c>
      <c r="E21" s="43" t="s">
        <v>0</v>
      </c>
      <c r="F21" s="43" t="s">
        <v>0</v>
      </c>
      <c r="G21" s="43" t="s">
        <v>0</v>
      </c>
      <c r="H21" s="43" t="s">
        <v>19</v>
      </c>
      <c r="I21" s="43" t="s">
        <v>19</v>
      </c>
      <c r="J21" s="43" t="s">
        <v>2</v>
      </c>
      <c r="K21" s="43" t="s">
        <v>2</v>
      </c>
      <c r="L21" s="43" t="s">
        <v>2</v>
      </c>
      <c r="M21" s="43" t="s">
        <v>19</v>
      </c>
      <c r="N21" s="43" t="s">
        <v>19</v>
      </c>
      <c r="O21" s="43" t="s">
        <v>1</v>
      </c>
      <c r="P21" s="43" t="s">
        <v>1</v>
      </c>
      <c r="Q21" s="43" t="s">
        <v>1</v>
      </c>
      <c r="R21" s="46" t="s">
        <v>1</v>
      </c>
      <c r="S21" s="43" t="s">
        <v>19</v>
      </c>
      <c r="T21" s="43" t="s">
        <v>0</v>
      </c>
      <c r="U21" s="43" t="s">
        <v>0</v>
      </c>
      <c r="V21" s="43" t="s">
        <v>0</v>
      </c>
      <c r="W21" s="43" t="s">
        <v>19</v>
      </c>
      <c r="X21" s="46" t="s">
        <v>0</v>
      </c>
      <c r="Y21" s="110"/>
      <c r="Z21" s="43" t="s">
        <v>2</v>
      </c>
      <c r="AA21" s="43" t="s">
        <v>2</v>
      </c>
      <c r="AB21" s="43" t="s">
        <v>19</v>
      </c>
      <c r="AC21" s="43" t="s">
        <v>19</v>
      </c>
      <c r="AD21" s="43" t="s">
        <v>1</v>
      </c>
      <c r="AE21" s="43" t="s">
        <v>1</v>
      </c>
      <c r="AF21" s="43" t="s">
        <v>1</v>
      </c>
      <c r="AG21" s="43" t="s">
        <v>19</v>
      </c>
      <c r="AH21" s="46" t="s">
        <v>0</v>
      </c>
      <c r="AJ21" s="42">
        <f t="shared" si="0"/>
        <v>160</v>
      </c>
    </row>
    <row r="22" spans="1:56" s="9" customFormat="1" ht="20.100000000000001" customHeight="1" x14ac:dyDescent="0.2">
      <c r="A22" s="41"/>
      <c r="B22" s="52">
        <v>7</v>
      </c>
      <c r="C22" s="53" t="s">
        <v>417</v>
      </c>
      <c r="D22" s="54" t="s">
        <v>349</v>
      </c>
      <c r="E22" s="46" t="s">
        <v>0</v>
      </c>
      <c r="F22" s="43" t="s">
        <v>19</v>
      </c>
      <c r="G22" s="43" t="s">
        <v>2</v>
      </c>
      <c r="H22" s="43" t="s">
        <v>2</v>
      </c>
      <c r="I22" s="47" t="s">
        <v>15</v>
      </c>
      <c r="J22" s="43" t="s">
        <v>19</v>
      </c>
      <c r="K22" s="43" t="s">
        <v>19</v>
      </c>
      <c r="L22" s="43" t="s">
        <v>1</v>
      </c>
      <c r="M22" s="43" t="s">
        <v>1</v>
      </c>
      <c r="N22" s="43" t="s">
        <v>1</v>
      </c>
      <c r="O22" s="108"/>
      <c r="P22" s="43" t="s">
        <v>19</v>
      </c>
      <c r="Q22" s="43" t="s">
        <v>0</v>
      </c>
      <c r="R22" s="43" t="s">
        <v>0</v>
      </c>
      <c r="S22" s="43" t="s">
        <v>0</v>
      </c>
      <c r="T22" s="43" t="s">
        <v>19</v>
      </c>
      <c r="U22" s="43" t="s">
        <v>19</v>
      </c>
      <c r="V22" s="47" t="s">
        <v>15</v>
      </c>
      <c r="W22" s="43" t="s">
        <v>2</v>
      </c>
      <c r="X22" s="43" t="s">
        <v>2</v>
      </c>
      <c r="Y22" s="43" t="s">
        <v>19</v>
      </c>
      <c r="Z22" s="43" t="s">
        <v>19</v>
      </c>
      <c r="AA22" s="43" t="s">
        <v>1</v>
      </c>
      <c r="AB22" s="43" t="s">
        <v>1</v>
      </c>
      <c r="AC22" s="43" t="s">
        <v>1</v>
      </c>
      <c r="AD22" s="43" t="s">
        <v>19</v>
      </c>
      <c r="AE22" s="46" t="s">
        <v>0</v>
      </c>
      <c r="AF22" s="43" t="s">
        <v>0</v>
      </c>
      <c r="AG22" s="43" t="s">
        <v>0</v>
      </c>
      <c r="AH22" s="43" t="s">
        <v>0</v>
      </c>
      <c r="AJ22" s="42">
        <f t="shared" si="0"/>
        <v>144</v>
      </c>
    </row>
    <row r="23" spans="1:56" s="9" customFormat="1" ht="20.100000000000001" customHeight="1" x14ac:dyDescent="0.2">
      <c r="A23" s="41"/>
      <c r="B23" s="52">
        <v>8</v>
      </c>
      <c r="C23" s="53" t="s">
        <v>408</v>
      </c>
      <c r="D23" s="54" t="s">
        <v>350</v>
      </c>
      <c r="E23" s="43" t="s">
        <v>19</v>
      </c>
      <c r="F23" s="43" t="s">
        <v>19</v>
      </c>
      <c r="G23" s="43" t="s">
        <v>2</v>
      </c>
      <c r="H23" s="43" t="s">
        <v>2</v>
      </c>
      <c r="I23" s="43" t="s">
        <v>2</v>
      </c>
      <c r="J23" s="43" t="s">
        <v>19</v>
      </c>
      <c r="K23" s="43" t="s">
        <v>19</v>
      </c>
      <c r="L23" s="43" t="s">
        <v>1</v>
      </c>
      <c r="M23" s="43" t="s">
        <v>1</v>
      </c>
      <c r="N23" s="43" t="s">
        <v>1</v>
      </c>
      <c r="O23" s="43" t="s">
        <v>19</v>
      </c>
      <c r="P23" s="43" t="s">
        <v>19</v>
      </c>
      <c r="Q23" s="43" t="s">
        <v>426</v>
      </c>
      <c r="R23" s="43" t="s">
        <v>0</v>
      </c>
      <c r="S23" s="43" t="s">
        <v>0</v>
      </c>
      <c r="T23" s="51" t="s">
        <v>428</v>
      </c>
      <c r="U23" s="43" t="s">
        <v>19</v>
      </c>
      <c r="V23" s="43" t="s">
        <v>2</v>
      </c>
      <c r="W23" s="43" t="s">
        <v>2</v>
      </c>
      <c r="X23" s="47" t="s">
        <v>15</v>
      </c>
      <c r="Y23" s="43" t="s">
        <v>19</v>
      </c>
      <c r="Z23" s="43" t="s">
        <v>19</v>
      </c>
      <c r="AA23" s="47" t="s">
        <v>16</v>
      </c>
      <c r="AB23" s="47" t="s">
        <v>16</v>
      </c>
      <c r="AC23" s="47" t="s">
        <v>16</v>
      </c>
      <c r="AD23" s="47" t="s">
        <v>16</v>
      </c>
      <c r="AE23" s="47" t="s">
        <v>16</v>
      </c>
      <c r="AF23" s="47" t="s">
        <v>16</v>
      </c>
      <c r="AG23" s="47" t="s">
        <v>16</v>
      </c>
      <c r="AH23" s="47" t="s">
        <v>16</v>
      </c>
      <c r="AJ23" s="42">
        <f t="shared" si="0"/>
        <v>100</v>
      </c>
    </row>
    <row r="24" spans="1:56" s="9" customFormat="1" ht="20.100000000000001" customHeight="1" x14ac:dyDescent="0.2">
      <c r="A24" s="41"/>
      <c r="B24" s="52">
        <v>9</v>
      </c>
      <c r="C24" s="53" t="s">
        <v>405</v>
      </c>
      <c r="D24" s="54" t="s">
        <v>351</v>
      </c>
      <c r="E24" s="43" t="s">
        <v>19</v>
      </c>
      <c r="F24" s="43" t="s">
        <v>19</v>
      </c>
      <c r="G24" s="43" t="s">
        <v>2</v>
      </c>
      <c r="H24" s="43" t="s">
        <v>2</v>
      </c>
      <c r="I24" s="43" t="s">
        <v>2</v>
      </c>
      <c r="J24" s="43" t="s">
        <v>19</v>
      </c>
      <c r="K24" s="43" t="s">
        <v>19</v>
      </c>
      <c r="L24" s="43" t="s">
        <v>1</v>
      </c>
      <c r="M24" s="46" t="s">
        <v>19</v>
      </c>
      <c r="N24" s="43" t="s">
        <v>1</v>
      </c>
      <c r="O24" s="43" t="s">
        <v>19</v>
      </c>
      <c r="P24" s="43" t="s">
        <v>19</v>
      </c>
      <c r="Q24" s="43" t="s">
        <v>0</v>
      </c>
      <c r="R24" s="43" t="s">
        <v>0</v>
      </c>
      <c r="S24" s="43" t="s">
        <v>0</v>
      </c>
      <c r="T24" s="43" t="s">
        <v>19</v>
      </c>
      <c r="U24" s="43" t="s">
        <v>19</v>
      </c>
      <c r="V24" s="43" t="s">
        <v>2</v>
      </c>
      <c r="W24" s="43" t="s">
        <v>2</v>
      </c>
      <c r="X24" s="43" t="s">
        <v>2</v>
      </c>
      <c r="Y24" s="43" t="s">
        <v>19</v>
      </c>
      <c r="Z24" s="43" t="s">
        <v>19</v>
      </c>
      <c r="AA24" s="43" t="s">
        <v>1</v>
      </c>
      <c r="AB24" s="43" t="s">
        <v>1</v>
      </c>
      <c r="AC24" s="43" t="s">
        <v>1</v>
      </c>
      <c r="AD24" s="46" t="s">
        <v>0</v>
      </c>
      <c r="AE24" s="43" t="s">
        <v>19</v>
      </c>
      <c r="AF24" s="46" t="s">
        <v>17</v>
      </c>
      <c r="AG24" s="43" t="s">
        <v>0</v>
      </c>
      <c r="AH24" s="43" t="s">
        <v>0</v>
      </c>
      <c r="AJ24" s="42">
        <f t="shared" si="0"/>
        <v>136</v>
      </c>
    </row>
    <row r="25" spans="1:56" s="9" customFormat="1" ht="19.5" customHeight="1" x14ac:dyDescent="0.2">
      <c r="A25" s="41"/>
      <c r="B25" s="52">
        <v>10</v>
      </c>
      <c r="C25" s="53" t="s">
        <v>383</v>
      </c>
      <c r="D25" s="54" t="s">
        <v>352</v>
      </c>
      <c r="E25" s="43" t="s">
        <v>19</v>
      </c>
      <c r="F25" s="43" t="s">
        <v>19</v>
      </c>
      <c r="G25" s="43" t="s">
        <v>2</v>
      </c>
      <c r="H25" s="43" t="s">
        <v>2</v>
      </c>
      <c r="I25" s="43" t="s">
        <v>2</v>
      </c>
      <c r="J25" s="43" t="s">
        <v>19</v>
      </c>
      <c r="K25" s="43" t="s">
        <v>19</v>
      </c>
      <c r="L25" s="43" t="s">
        <v>1</v>
      </c>
      <c r="M25" s="47" t="s">
        <v>265</v>
      </c>
      <c r="N25" s="47" t="s">
        <v>15</v>
      </c>
      <c r="O25" s="43" t="s">
        <v>19</v>
      </c>
      <c r="P25" s="43" t="s">
        <v>19</v>
      </c>
      <c r="Q25" s="43" t="s">
        <v>0</v>
      </c>
      <c r="R25" s="43" t="s">
        <v>0</v>
      </c>
      <c r="S25" s="43" t="s">
        <v>0</v>
      </c>
      <c r="T25" s="43" t="s">
        <v>19</v>
      </c>
      <c r="U25" s="43" t="s">
        <v>19</v>
      </c>
      <c r="V25" s="43" t="s">
        <v>2</v>
      </c>
      <c r="W25" s="43" t="s">
        <v>2</v>
      </c>
      <c r="X25" s="43" t="s">
        <v>2</v>
      </c>
      <c r="Y25" s="43" t="s">
        <v>19</v>
      </c>
      <c r="Z25" s="43" t="s">
        <v>19</v>
      </c>
      <c r="AA25" s="47" t="s">
        <v>16</v>
      </c>
      <c r="AB25" s="47" t="s">
        <v>16</v>
      </c>
      <c r="AC25" s="47" t="s">
        <v>16</v>
      </c>
      <c r="AD25" s="47" t="s">
        <v>16</v>
      </c>
      <c r="AE25" s="47" t="s">
        <v>16</v>
      </c>
      <c r="AF25" s="47" t="s">
        <v>16</v>
      </c>
      <c r="AG25" s="47" t="s">
        <v>16</v>
      </c>
      <c r="AH25" s="47" t="s">
        <v>16</v>
      </c>
      <c r="AJ25" s="42">
        <f t="shared" si="0"/>
        <v>80</v>
      </c>
    </row>
    <row r="26" spans="1:56" s="9" customFormat="1" ht="20.100000000000001" customHeight="1" x14ac:dyDescent="0.2">
      <c r="A26" s="41"/>
      <c r="B26" s="52">
        <v>11</v>
      </c>
      <c r="C26" s="53" t="s">
        <v>353</v>
      </c>
      <c r="D26" s="54" t="s">
        <v>384</v>
      </c>
      <c r="E26" s="43" t="s">
        <v>19</v>
      </c>
      <c r="F26" s="43" t="s">
        <v>19</v>
      </c>
      <c r="G26" s="46" t="s">
        <v>1</v>
      </c>
      <c r="H26" s="46" t="s">
        <v>1</v>
      </c>
      <c r="I26" s="43" t="s">
        <v>2</v>
      </c>
      <c r="J26" s="43" t="s">
        <v>19</v>
      </c>
      <c r="K26" s="43" t="s">
        <v>19</v>
      </c>
      <c r="L26" s="43" t="s">
        <v>1</v>
      </c>
      <c r="M26" s="43" t="s">
        <v>1</v>
      </c>
      <c r="N26" s="43" t="s">
        <v>1</v>
      </c>
      <c r="O26" s="43" t="s">
        <v>19</v>
      </c>
      <c r="P26" s="43" t="s">
        <v>19</v>
      </c>
      <c r="Q26" s="43" t="s">
        <v>0</v>
      </c>
      <c r="R26" s="43" t="s">
        <v>0</v>
      </c>
      <c r="S26" s="43" t="s">
        <v>0</v>
      </c>
      <c r="T26" s="43" t="s">
        <v>19</v>
      </c>
      <c r="U26" s="43" t="s">
        <v>19</v>
      </c>
      <c r="V26" s="43" t="s">
        <v>2</v>
      </c>
      <c r="W26" s="43" t="s">
        <v>2</v>
      </c>
      <c r="X26" s="43" t="s">
        <v>2</v>
      </c>
      <c r="Y26" s="43" t="s">
        <v>19</v>
      </c>
      <c r="Z26" s="43" t="s">
        <v>19</v>
      </c>
      <c r="AA26" s="43" t="s">
        <v>1</v>
      </c>
      <c r="AB26" s="43" t="s">
        <v>1</v>
      </c>
      <c r="AC26" s="43" t="s">
        <v>1</v>
      </c>
      <c r="AD26" s="43" t="s">
        <v>19</v>
      </c>
      <c r="AE26" s="43" t="s">
        <v>19</v>
      </c>
      <c r="AF26" s="46" t="s">
        <v>17</v>
      </c>
      <c r="AG26" s="43" t="s">
        <v>0</v>
      </c>
      <c r="AH26" s="43" t="s">
        <v>0</v>
      </c>
      <c r="AJ26" s="42">
        <f t="shared" si="0"/>
        <v>136</v>
      </c>
    </row>
    <row r="27" spans="1:56" s="10" customFormat="1" ht="20.100000000000001" customHeight="1" x14ac:dyDescent="0.2">
      <c r="A27" s="41"/>
      <c r="B27" s="52">
        <v>12</v>
      </c>
      <c r="C27" s="53" t="s">
        <v>411</v>
      </c>
      <c r="D27" s="54" t="s">
        <v>354</v>
      </c>
      <c r="E27" s="43" t="s">
        <v>19</v>
      </c>
      <c r="F27" s="43" t="s">
        <v>19</v>
      </c>
      <c r="G27" s="43" t="s">
        <v>2</v>
      </c>
      <c r="H27" s="43" t="s">
        <v>2</v>
      </c>
      <c r="I27" s="43" t="s">
        <v>2</v>
      </c>
      <c r="J27" s="43" t="s">
        <v>19</v>
      </c>
      <c r="K27" s="43" t="s">
        <v>19</v>
      </c>
      <c r="L27" s="110"/>
      <c r="M27" s="46" t="s">
        <v>0</v>
      </c>
      <c r="N27" s="46" t="s">
        <v>19</v>
      </c>
      <c r="O27" s="43" t="s">
        <v>19</v>
      </c>
      <c r="P27" s="43" t="s">
        <v>19</v>
      </c>
      <c r="Q27" s="46" t="s">
        <v>2</v>
      </c>
      <c r="R27" s="46" t="s">
        <v>2</v>
      </c>
      <c r="S27" s="46" t="s">
        <v>2</v>
      </c>
      <c r="T27" s="43" t="s">
        <v>19</v>
      </c>
      <c r="U27" s="43" t="s">
        <v>19</v>
      </c>
      <c r="V27" s="46" t="s">
        <v>0</v>
      </c>
      <c r="W27" s="46" t="s">
        <v>0</v>
      </c>
      <c r="X27" s="46" t="s">
        <v>0</v>
      </c>
      <c r="Y27" s="43" t="s">
        <v>19</v>
      </c>
      <c r="Z27" s="43" t="s">
        <v>19</v>
      </c>
      <c r="AA27" s="43" t="s">
        <v>1</v>
      </c>
      <c r="AB27" s="43" t="s">
        <v>1</v>
      </c>
      <c r="AC27" s="43" t="s">
        <v>1</v>
      </c>
      <c r="AD27" s="46" t="s">
        <v>1</v>
      </c>
      <c r="AE27" s="43" t="s">
        <v>19</v>
      </c>
      <c r="AF27" s="46" t="s">
        <v>17</v>
      </c>
      <c r="AG27" s="43" t="s">
        <v>0</v>
      </c>
      <c r="AH27" s="43" t="s">
        <v>19</v>
      </c>
      <c r="AJ27" s="42">
        <f t="shared" si="0"/>
        <v>120</v>
      </c>
      <c r="AL27" s="111"/>
      <c r="AM27" s="111"/>
      <c r="AN27" s="111"/>
      <c r="AO27" s="111"/>
      <c r="AP27" s="111"/>
      <c r="AQ27" s="111"/>
      <c r="AR27" s="111"/>
      <c r="AS27" s="111"/>
      <c r="AT27" s="111"/>
      <c r="AU27" s="111"/>
      <c r="AV27" s="111"/>
      <c r="AW27" s="111"/>
      <c r="AX27" s="111"/>
      <c r="AY27" s="111"/>
      <c r="AZ27" s="111"/>
      <c r="BA27" s="111"/>
      <c r="BB27" s="111"/>
      <c r="BC27" s="111"/>
      <c r="BD27" s="111"/>
    </row>
    <row r="28" spans="1:56" s="9" customFormat="1" ht="20.100000000000001" customHeight="1" x14ac:dyDescent="0.2">
      <c r="A28" s="41"/>
      <c r="B28" s="52">
        <v>13</v>
      </c>
      <c r="C28" s="53" t="s">
        <v>355</v>
      </c>
      <c r="D28" s="54" t="s">
        <v>356</v>
      </c>
      <c r="E28" s="43" t="s">
        <v>19</v>
      </c>
      <c r="F28" s="47" t="s">
        <v>265</v>
      </c>
      <c r="G28" s="47" t="s">
        <v>15</v>
      </c>
      <c r="H28" s="43" t="s">
        <v>2</v>
      </c>
      <c r="I28" s="43" t="s">
        <v>2</v>
      </c>
      <c r="J28" s="43" t="s">
        <v>19</v>
      </c>
      <c r="K28" s="43" t="s">
        <v>19</v>
      </c>
      <c r="L28" s="43" t="s">
        <v>1</v>
      </c>
      <c r="M28" s="43" t="s">
        <v>1</v>
      </c>
      <c r="N28" s="108"/>
      <c r="O28" s="43" t="s">
        <v>19</v>
      </c>
      <c r="P28" s="43" t="s">
        <v>17</v>
      </c>
      <c r="Q28" s="43" t="s">
        <v>17</v>
      </c>
      <c r="R28" s="43" t="s">
        <v>17</v>
      </c>
      <c r="S28" s="43" t="s">
        <v>17</v>
      </c>
      <c r="T28" s="43" t="s">
        <v>17</v>
      </c>
      <c r="U28" s="46" t="s">
        <v>19</v>
      </c>
      <c r="V28" s="43" t="s">
        <v>19</v>
      </c>
      <c r="W28" s="43" t="s">
        <v>17</v>
      </c>
      <c r="X28" s="43" t="s">
        <v>17</v>
      </c>
      <c r="Y28" s="43" t="s">
        <v>17</v>
      </c>
      <c r="Z28" s="43" t="s">
        <v>17</v>
      </c>
      <c r="AA28" s="43" t="s">
        <v>17</v>
      </c>
      <c r="AB28" s="74"/>
      <c r="AC28" s="46" t="s">
        <v>19</v>
      </c>
      <c r="AD28" s="43" t="s">
        <v>19</v>
      </c>
      <c r="AE28" s="51" t="s">
        <v>401</v>
      </c>
      <c r="AF28" s="46" t="s">
        <v>17</v>
      </c>
      <c r="AG28" s="43" t="s">
        <v>0</v>
      </c>
      <c r="AH28" s="43" t="s">
        <v>0</v>
      </c>
      <c r="AJ28" s="42">
        <f t="shared" si="0"/>
        <v>56</v>
      </c>
    </row>
    <row r="29" spans="1:56" s="9" customFormat="1" ht="20.100000000000001" customHeight="1" x14ac:dyDescent="0.2">
      <c r="A29" s="41"/>
      <c r="B29" s="55">
        <v>14</v>
      </c>
      <c r="C29" s="56" t="s">
        <v>413</v>
      </c>
      <c r="D29" s="57" t="s">
        <v>357</v>
      </c>
      <c r="E29" s="43" t="s">
        <v>1</v>
      </c>
      <c r="F29" s="43" t="s">
        <v>19</v>
      </c>
      <c r="G29" s="43" t="s">
        <v>19</v>
      </c>
      <c r="H29" s="43" t="s">
        <v>0</v>
      </c>
      <c r="I29" s="43" t="s">
        <v>0</v>
      </c>
      <c r="J29" s="43" t="s">
        <v>0</v>
      </c>
      <c r="K29" s="46" t="s">
        <v>0</v>
      </c>
      <c r="L29" s="43" t="s">
        <v>19</v>
      </c>
      <c r="M29" s="43" t="s">
        <v>2</v>
      </c>
      <c r="N29" s="43" t="s">
        <v>2</v>
      </c>
      <c r="O29" s="43" t="s">
        <v>2</v>
      </c>
      <c r="P29" s="43" t="s">
        <v>19</v>
      </c>
      <c r="Q29" s="43" t="s">
        <v>19</v>
      </c>
      <c r="R29" s="43" t="s">
        <v>1</v>
      </c>
      <c r="S29" s="43" t="s">
        <v>1</v>
      </c>
      <c r="T29" s="43" t="s">
        <v>1</v>
      </c>
      <c r="U29" s="43" t="s">
        <v>19</v>
      </c>
      <c r="V29" s="43" t="s">
        <v>19</v>
      </c>
      <c r="W29" s="47" t="s">
        <v>16</v>
      </c>
      <c r="X29" s="47" t="s">
        <v>16</v>
      </c>
      <c r="Y29" s="47" t="s">
        <v>16</v>
      </c>
      <c r="Z29" s="47" t="s">
        <v>16</v>
      </c>
      <c r="AA29" s="47" t="s">
        <v>16</v>
      </c>
      <c r="AB29" s="47" t="s">
        <v>16</v>
      </c>
      <c r="AC29" s="47" t="s">
        <v>16</v>
      </c>
      <c r="AD29" s="47" t="s">
        <v>16</v>
      </c>
      <c r="AE29" s="47" t="s">
        <v>16</v>
      </c>
      <c r="AF29" s="47" t="s">
        <v>16</v>
      </c>
      <c r="AG29" s="47" t="s">
        <v>16</v>
      </c>
      <c r="AH29" s="47" t="s">
        <v>16</v>
      </c>
      <c r="AJ29" s="42">
        <f t="shared" si="0"/>
        <v>88</v>
      </c>
    </row>
    <row r="30" spans="1:56" s="9" customFormat="1" ht="20.100000000000001" customHeight="1" x14ac:dyDescent="0.2">
      <c r="A30" s="41"/>
      <c r="B30" s="55">
        <v>15</v>
      </c>
      <c r="C30" s="56" t="s">
        <v>407</v>
      </c>
      <c r="D30" s="57" t="s">
        <v>358</v>
      </c>
      <c r="E30" s="43" t="s">
        <v>1</v>
      </c>
      <c r="F30" s="43" t="s">
        <v>19</v>
      </c>
      <c r="G30" s="46" t="s">
        <v>1</v>
      </c>
      <c r="H30" s="46" t="s">
        <v>1</v>
      </c>
      <c r="I30" s="43" t="s">
        <v>0</v>
      </c>
      <c r="J30" s="43" t="s">
        <v>0</v>
      </c>
      <c r="K30" s="43" t="s">
        <v>19</v>
      </c>
      <c r="L30" s="46" t="s">
        <v>2</v>
      </c>
      <c r="M30" s="43" t="s">
        <v>2</v>
      </c>
      <c r="N30" s="43" t="s">
        <v>2</v>
      </c>
      <c r="O30" s="43" t="s">
        <v>2</v>
      </c>
      <c r="P30" s="43" t="s">
        <v>19</v>
      </c>
      <c r="Q30" s="43" t="s">
        <v>19</v>
      </c>
      <c r="R30" s="43" t="s">
        <v>1</v>
      </c>
      <c r="S30" s="43" t="s">
        <v>1</v>
      </c>
      <c r="T30" s="43" t="s">
        <v>1</v>
      </c>
      <c r="U30" s="43" t="s">
        <v>19</v>
      </c>
      <c r="V30" s="43" t="s">
        <v>19</v>
      </c>
      <c r="W30" s="43" t="s">
        <v>0</v>
      </c>
      <c r="X30" s="46" t="s">
        <v>19</v>
      </c>
      <c r="Y30" s="43" t="s">
        <v>0</v>
      </c>
      <c r="Z30" s="43" t="s">
        <v>19</v>
      </c>
      <c r="AA30" s="43" t="s">
        <v>19</v>
      </c>
      <c r="AB30" s="43" t="s">
        <v>2</v>
      </c>
      <c r="AC30" s="43" t="s">
        <v>2</v>
      </c>
      <c r="AD30" s="43" t="s">
        <v>2</v>
      </c>
      <c r="AE30" s="43" t="s">
        <v>19</v>
      </c>
      <c r="AF30" s="43" t="s">
        <v>19</v>
      </c>
      <c r="AG30" s="46" t="s">
        <v>19</v>
      </c>
      <c r="AH30" s="43" t="s">
        <v>1</v>
      </c>
      <c r="AJ30" s="42">
        <f t="shared" si="0"/>
        <v>144</v>
      </c>
    </row>
    <row r="31" spans="1:56" s="45" customFormat="1" ht="19.5" customHeight="1" x14ac:dyDescent="0.2">
      <c r="A31" s="44"/>
      <c r="B31" s="55">
        <v>16</v>
      </c>
      <c r="C31" s="56" t="s">
        <v>418</v>
      </c>
      <c r="D31" s="57" t="s">
        <v>359</v>
      </c>
      <c r="E31" s="43" t="s">
        <v>1</v>
      </c>
      <c r="F31" s="43" t="s">
        <v>19</v>
      </c>
      <c r="G31" s="43" t="s">
        <v>19</v>
      </c>
      <c r="H31" s="43" t="s">
        <v>0</v>
      </c>
      <c r="I31" s="43" t="s">
        <v>0</v>
      </c>
      <c r="J31" s="43" t="s">
        <v>0</v>
      </c>
      <c r="K31" s="43" t="s">
        <v>19</v>
      </c>
      <c r="L31" s="43" t="s">
        <v>19</v>
      </c>
      <c r="M31" s="43" t="s">
        <v>2</v>
      </c>
      <c r="N31" s="43" t="s">
        <v>2</v>
      </c>
      <c r="O31" s="43" t="s">
        <v>2</v>
      </c>
      <c r="P31" s="43" t="s">
        <v>19</v>
      </c>
      <c r="Q31" s="43" t="s">
        <v>19</v>
      </c>
      <c r="R31" s="46" t="s">
        <v>19</v>
      </c>
      <c r="S31" s="43" t="s">
        <v>1</v>
      </c>
      <c r="T31" s="43" t="s">
        <v>1</v>
      </c>
      <c r="U31" s="43" t="s">
        <v>19</v>
      </c>
      <c r="V31" s="43" t="s">
        <v>19</v>
      </c>
      <c r="W31" s="43" t="s">
        <v>0</v>
      </c>
      <c r="X31" s="43" t="s">
        <v>0</v>
      </c>
      <c r="Y31" s="43" t="s">
        <v>0</v>
      </c>
      <c r="Z31" s="43" t="s">
        <v>19</v>
      </c>
      <c r="AA31" s="43" t="s">
        <v>19</v>
      </c>
      <c r="AB31" s="43" t="s">
        <v>2</v>
      </c>
      <c r="AC31" s="43" t="s">
        <v>2</v>
      </c>
      <c r="AD31" s="43" t="s">
        <v>2</v>
      </c>
      <c r="AE31" s="43" t="s">
        <v>19</v>
      </c>
      <c r="AF31" s="43" t="s">
        <v>19</v>
      </c>
      <c r="AG31" s="46" t="s">
        <v>17</v>
      </c>
      <c r="AH31" s="43" t="s">
        <v>1</v>
      </c>
      <c r="AJ31" s="42">
        <f t="shared" si="0"/>
        <v>128</v>
      </c>
    </row>
    <row r="32" spans="1:56" s="9" customFormat="1" ht="20.100000000000001" customHeight="1" x14ac:dyDescent="0.2">
      <c r="A32" s="41"/>
      <c r="B32" s="55">
        <v>17</v>
      </c>
      <c r="C32" s="56" t="s">
        <v>360</v>
      </c>
      <c r="D32" s="57" t="s">
        <v>361</v>
      </c>
      <c r="E32" s="43" t="s">
        <v>1</v>
      </c>
      <c r="F32" s="43" t="s">
        <v>19</v>
      </c>
      <c r="G32" s="43" t="s">
        <v>19</v>
      </c>
      <c r="H32" s="43" t="s">
        <v>0</v>
      </c>
      <c r="I32" s="43" t="s">
        <v>0</v>
      </c>
      <c r="J32" s="43" t="s">
        <v>0</v>
      </c>
      <c r="K32" s="43" t="s">
        <v>19</v>
      </c>
      <c r="L32" s="43" t="s">
        <v>19</v>
      </c>
      <c r="M32" s="43" t="s">
        <v>2</v>
      </c>
      <c r="N32" s="43" t="s">
        <v>2</v>
      </c>
      <c r="O32" s="43" t="s">
        <v>2</v>
      </c>
      <c r="P32" s="43" t="s">
        <v>19</v>
      </c>
      <c r="Q32" s="43" t="s">
        <v>19</v>
      </c>
      <c r="R32" s="43" t="s">
        <v>1</v>
      </c>
      <c r="S32" s="43" t="s">
        <v>1</v>
      </c>
      <c r="T32" s="43" t="s">
        <v>1</v>
      </c>
      <c r="U32" s="43" t="s">
        <v>19</v>
      </c>
      <c r="V32" s="43" t="s">
        <v>19</v>
      </c>
      <c r="W32" s="43" t="s">
        <v>0</v>
      </c>
      <c r="X32" s="43" t="s">
        <v>0</v>
      </c>
      <c r="Y32" s="43" t="s">
        <v>0</v>
      </c>
      <c r="Z32" s="43" t="s">
        <v>19</v>
      </c>
      <c r="AA32" s="43" t="s">
        <v>19</v>
      </c>
      <c r="AB32" s="43" t="s">
        <v>2</v>
      </c>
      <c r="AC32" s="43" t="s">
        <v>2</v>
      </c>
      <c r="AD32" s="43" t="s">
        <v>427</v>
      </c>
      <c r="AE32" s="43" t="s">
        <v>19</v>
      </c>
      <c r="AF32" s="43" t="s">
        <v>19</v>
      </c>
      <c r="AG32" s="46" t="s">
        <v>17</v>
      </c>
      <c r="AH32" s="43" t="s">
        <v>1</v>
      </c>
      <c r="AJ32" s="42">
        <f t="shared" si="0"/>
        <v>140</v>
      </c>
    </row>
    <row r="33" spans="1:56" s="10" customFormat="1" ht="20.100000000000001" customHeight="1" x14ac:dyDescent="0.2">
      <c r="A33" s="41"/>
      <c r="B33" s="55">
        <v>18</v>
      </c>
      <c r="C33" s="56" t="s">
        <v>412</v>
      </c>
      <c r="D33" s="57" t="s">
        <v>362</v>
      </c>
      <c r="E33" s="43" t="s">
        <v>1</v>
      </c>
      <c r="F33" s="108"/>
      <c r="G33" s="43" t="s">
        <v>19</v>
      </c>
      <c r="H33" s="43" t="s">
        <v>0</v>
      </c>
      <c r="I33" s="43" t="s">
        <v>0</v>
      </c>
      <c r="J33" s="43" t="s">
        <v>0</v>
      </c>
      <c r="K33" s="43" t="s">
        <v>19</v>
      </c>
      <c r="L33" s="43" t="s">
        <v>19</v>
      </c>
      <c r="M33" s="46" t="s">
        <v>1</v>
      </c>
      <c r="N33" s="46" t="s">
        <v>1</v>
      </c>
      <c r="O33" s="46" t="s">
        <v>1</v>
      </c>
      <c r="P33" s="46" t="s">
        <v>1</v>
      </c>
      <c r="Q33" s="43" t="s">
        <v>19</v>
      </c>
      <c r="R33" s="43" t="s">
        <v>1</v>
      </c>
      <c r="S33" s="43" t="s">
        <v>1</v>
      </c>
      <c r="T33" s="46" t="s">
        <v>19</v>
      </c>
      <c r="U33" s="43" t="s">
        <v>19</v>
      </c>
      <c r="V33" s="46" t="s">
        <v>1</v>
      </c>
      <c r="W33" s="43" t="s">
        <v>0</v>
      </c>
      <c r="X33" s="43" t="s">
        <v>0</v>
      </c>
      <c r="Y33" s="43" t="s">
        <v>0</v>
      </c>
      <c r="Z33" s="43" t="s">
        <v>19</v>
      </c>
      <c r="AA33" s="43" t="s">
        <v>19</v>
      </c>
      <c r="AB33" s="46" t="s">
        <v>0</v>
      </c>
      <c r="AC33" s="46" t="s">
        <v>19</v>
      </c>
      <c r="AD33" s="46" t="s">
        <v>0</v>
      </c>
      <c r="AE33" s="46" t="s">
        <v>0</v>
      </c>
      <c r="AF33" s="43" t="s">
        <v>19</v>
      </c>
      <c r="AG33" s="46" t="s">
        <v>19</v>
      </c>
      <c r="AH33" s="43" t="s">
        <v>1</v>
      </c>
      <c r="AJ33" s="42">
        <f t="shared" si="0"/>
        <v>144</v>
      </c>
      <c r="AL33" s="111"/>
      <c r="AM33" s="111"/>
      <c r="AN33" s="111"/>
      <c r="AO33" s="111"/>
      <c r="AP33" s="111"/>
      <c r="AQ33" s="111"/>
      <c r="AR33" s="111"/>
      <c r="AS33" s="111"/>
      <c r="AT33" s="111"/>
      <c r="AU33" s="111"/>
      <c r="AV33" s="111"/>
      <c r="AW33" s="111"/>
      <c r="AX33" s="111"/>
      <c r="AY33" s="111"/>
      <c r="AZ33" s="111"/>
      <c r="BA33" s="111"/>
      <c r="BB33" s="111"/>
      <c r="BC33" s="111"/>
      <c r="BD33" s="111"/>
    </row>
    <row r="34" spans="1:56" s="9" customFormat="1" ht="20.100000000000001" customHeight="1" x14ac:dyDescent="0.2">
      <c r="A34" s="41"/>
      <c r="B34" s="55">
        <v>19</v>
      </c>
      <c r="C34" s="56" t="s">
        <v>394</v>
      </c>
      <c r="D34" s="57" t="s">
        <v>396</v>
      </c>
      <c r="E34" s="43" t="s">
        <v>1</v>
      </c>
      <c r="F34" s="43" t="s">
        <v>19</v>
      </c>
      <c r="G34" s="43" t="s">
        <v>19</v>
      </c>
      <c r="H34" s="43" t="s">
        <v>0</v>
      </c>
      <c r="I34" s="43" t="s">
        <v>0</v>
      </c>
      <c r="J34" s="43" t="s">
        <v>0</v>
      </c>
      <c r="K34" s="108"/>
      <c r="L34" s="43" t="s">
        <v>19</v>
      </c>
      <c r="M34" s="43" t="s">
        <v>2</v>
      </c>
      <c r="N34" s="43" t="s">
        <v>2</v>
      </c>
      <c r="O34" s="43" t="s">
        <v>2</v>
      </c>
      <c r="P34" s="43" t="s">
        <v>19</v>
      </c>
      <c r="Q34" s="43" t="s">
        <v>19</v>
      </c>
      <c r="R34" s="43" t="s">
        <v>1</v>
      </c>
      <c r="S34" s="43" t="s">
        <v>1</v>
      </c>
      <c r="T34" s="43" t="s">
        <v>1</v>
      </c>
      <c r="U34" s="43" t="s">
        <v>19</v>
      </c>
      <c r="V34" s="43" t="s">
        <v>19</v>
      </c>
      <c r="W34" s="43" t="s">
        <v>0</v>
      </c>
      <c r="X34" s="43" t="s">
        <v>0</v>
      </c>
      <c r="Y34" s="46" t="s">
        <v>2</v>
      </c>
      <c r="Z34" s="43" t="s">
        <v>19</v>
      </c>
      <c r="AA34" s="47" t="s">
        <v>15</v>
      </c>
      <c r="AB34" s="46" t="s">
        <v>19</v>
      </c>
      <c r="AC34" s="43" t="s">
        <v>2</v>
      </c>
      <c r="AD34" s="43" t="s">
        <v>2</v>
      </c>
      <c r="AE34" s="43" t="s">
        <v>19</v>
      </c>
      <c r="AF34" s="43" t="s">
        <v>19</v>
      </c>
      <c r="AG34" s="46" t="s">
        <v>17</v>
      </c>
      <c r="AH34" s="43" t="s">
        <v>1</v>
      </c>
      <c r="AJ34" s="42">
        <f t="shared" si="0"/>
        <v>128</v>
      </c>
    </row>
    <row r="35" spans="1:56" s="9" customFormat="1" ht="20.100000000000001" customHeight="1" x14ac:dyDescent="0.2">
      <c r="A35" s="41"/>
      <c r="B35" s="58">
        <v>20</v>
      </c>
      <c r="C35" s="59" t="s">
        <v>406</v>
      </c>
      <c r="D35" s="60" t="s">
        <v>363</v>
      </c>
      <c r="E35" s="43" t="s">
        <v>2</v>
      </c>
      <c r="F35" s="43" t="s">
        <v>2</v>
      </c>
      <c r="G35" s="43" t="s">
        <v>19</v>
      </c>
      <c r="H35" s="43" t="s">
        <v>19</v>
      </c>
      <c r="I35" s="43" t="s">
        <v>1</v>
      </c>
      <c r="J35" s="43" t="s">
        <v>1</v>
      </c>
      <c r="K35" s="43" t="s">
        <v>1</v>
      </c>
      <c r="L35" s="43" t="s">
        <v>19</v>
      </c>
      <c r="M35" s="43" t="s">
        <v>19</v>
      </c>
      <c r="N35" s="47" t="s">
        <v>15</v>
      </c>
      <c r="O35" s="43" t="s">
        <v>0</v>
      </c>
      <c r="P35" s="43" t="s">
        <v>0</v>
      </c>
      <c r="Q35" s="43" t="s">
        <v>19</v>
      </c>
      <c r="R35" s="43" t="s">
        <v>19</v>
      </c>
      <c r="S35" s="47" t="s">
        <v>265</v>
      </c>
      <c r="T35" s="47" t="s">
        <v>265</v>
      </c>
      <c r="U35" s="47" t="s">
        <v>265</v>
      </c>
      <c r="V35" s="47" t="s">
        <v>265</v>
      </c>
      <c r="W35" s="47" t="s">
        <v>265</v>
      </c>
      <c r="X35" s="47" t="s">
        <v>265</v>
      </c>
      <c r="Y35" s="47" t="s">
        <v>265</v>
      </c>
      <c r="Z35" s="47" t="s">
        <v>265</v>
      </c>
      <c r="AA35" s="47" t="s">
        <v>265</v>
      </c>
      <c r="AB35" s="47" t="s">
        <v>265</v>
      </c>
      <c r="AC35" s="47" t="s">
        <v>265</v>
      </c>
      <c r="AD35" s="47" t="s">
        <v>265</v>
      </c>
      <c r="AE35" s="47" t="s">
        <v>265</v>
      </c>
      <c r="AF35" s="47" t="s">
        <v>265</v>
      </c>
      <c r="AG35" s="47" t="s">
        <v>265</v>
      </c>
      <c r="AH35" s="43" t="s">
        <v>2</v>
      </c>
      <c r="AJ35" s="42">
        <f t="shared" si="0"/>
        <v>64</v>
      </c>
    </row>
    <row r="36" spans="1:56" s="9" customFormat="1" ht="20.100000000000001" customHeight="1" x14ac:dyDescent="0.2">
      <c r="A36" s="41"/>
      <c r="B36" s="58">
        <v>21</v>
      </c>
      <c r="C36" s="59" t="s">
        <v>419</v>
      </c>
      <c r="D36" s="60" t="s">
        <v>364</v>
      </c>
      <c r="E36" s="43" t="s">
        <v>2</v>
      </c>
      <c r="F36" s="108"/>
      <c r="G36" s="43" t="s">
        <v>19</v>
      </c>
      <c r="H36" s="43" t="s">
        <v>19</v>
      </c>
      <c r="I36" s="43" t="s">
        <v>1</v>
      </c>
      <c r="J36" s="43" t="s">
        <v>1</v>
      </c>
      <c r="K36" s="43" t="s">
        <v>1</v>
      </c>
      <c r="L36" s="43" t="s">
        <v>19</v>
      </c>
      <c r="M36" s="46" t="s">
        <v>1</v>
      </c>
      <c r="N36" s="43" t="s">
        <v>0</v>
      </c>
      <c r="O36" s="43" t="s">
        <v>0</v>
      </c>
      <c r="P36" s="110"/>
      <c r="Q36" s="46" t="s">
        <v>0</v>
      </c>
      <c r="R36" s="43" t="s">
        <v>19</v>
      </c>
      <c r="S36" s="43" t="s">
        <v>2</v>
      </c>
      <c r="T36" s="43" t="s">
        <v>2</v>
      </c>
      <c r="U36" s="43" t="s">
        <v>415</v>
      </c>
      <c r="V36" s="43" t="s">
        <v>19</v>
      </c>
      <c r="W36" s="43" t="s">
        <v>19</v>
      </c>
      <c r="X36" s="43" t="s">
        <v>1</v>
      </c>
      <c r="Y36" s="43" t="s">
        <v>1</v>
      </c>
      <c r="Z36" s="43" t="s">
        <v>1</v>
      </c>
      <c r="AA36" s="43" t="s">
        <v>19</v>
      </c>
      <c r="AB36" s="43" t="s">
        <v>19</v>
      </c>
      <c r="AC36" s="46" t="s">
        <v>19</v>
      </c>
      <c r="AD36" s="46" t="s">
        <v>19</v>
      </c>
      <c r="AE36" s="46" t="s">
        <v>19</v>
      </c>
      <c r="AF36" s="43" t="s">
        <v>19</v>
      </c>
      <c r="AG36" s="43" t="s">
        <v>19</v>
      </c>
      <c r="AH36" s="43" t="s">
        <v>2</v>
      </c>
      <c r="AJ36" s="42">
        <f t="shared" si="0"/>
        <v>124</v>
      </c>
    </row>
    <row r="37" spans="1:56" s="9" customFormat="1" ht="20.100000000000001" customHeight="1" x14ac:dyDescent="0.2">
      <c r="A37" s="41"/>
      <c r="B37" s="58">
        <v>22</v>
      </c>
      <c r="C37" s="59" t="s">
        <v>414</v>
      </c>
      <c r="D37" s="60" t="s">
        <v>376</v>
      </c>
      <c r="E37" s="43" t="s">
        <v>2</v>
      </c>
      <c r="F37" s="43" t="s">
        <v>2</v>
      </c>
      <c r="G37" s="43" t="s">
        <v>19</v>
      </c>
      <c r="H37" s="43" t="s">
        <v>19</v>
      </c>
      <c r="I37" s="43" t="s">
        <v>1</v>
      </c>
      <c r="J37" s="43" t="s">
        <v>1</v>
      </c>
      <c r="K37" s="43" t="s">
        <v>1</v>
      </c>
      <c r="L37" s="43" t="s">
        <v>19</v>
      </c>
      <c r="M37" s="46" t="s">
        <v>0</v>
      </c>
      <c r="N37" s="43" t="s">
        <v>0</v>
      </c>
      <c r="O37" s="43" t="s">
        <v>0</v>
      </c>
      <c r="P37" s="43" t="s">
        <v>0</v>
      </c>
      <c r="Q37" s="43" t="s">
        <v>19</v>
      </c>
      <c r="R37" s="43" t="s">
        <v>19</v>
      </c>
      <c r="S37" s="43" t="s">
        <v>2</v>
      </c>
      <c r="T37" s="43" t="s">
        <v>2</v>
      </c>
      <c r="U37" s="43" t="s">
        <v>2</v>
      </c>
      <c r="V37" s="43" t="s">
        <v>19</v>
      </c>
      <c r="W37" s="43" t="s">
        <v>19</v>
      </c>
      <c r="X37" s="46" t="s">
        <v>19</v>
      </c>
      <c r="Y37" s="43" t="s">
        <v>1</v>
      </c>
      <c r="Z37" s="43" t="s">
        <v>1</v>
      </c>
      <c r="AA37" s="43" t="s">
        <v>19</v>
      </c>
      <c r="AB37" s="46" t="s">
        <v>0</v>
      </c>
      <c r="AC37" s="43" t="s">
        <v>0</v>
      </c>
      <c r="AD37" s="43" t="s">
        <v>0</v>
      </c>
      <c r="AE37" s="43" t="s">
        <v>0</v>
      </c>
      <c r="AF37" s="51" t="s">
        <v>401</v>
      </c>
      <c r="AG37" s="43" t="s">
        <v>19</v>
      </c>
      <c r="AH37" s="43" t="s">
        <v>2</v>
      </c>
      <c r="AJ37" s="42">
        <f t="shared" si="0"/>
        <v>160</v>
      </c>
    </row>
    <row r="38" spans="1:56" s="10" customFormat="1" ht="19.5" customHeight="1" x14ac:dyDescent="0.2">
      <c r="A38" s="41"/>
      <c r="B38" s="58">
        <v>23</v>
      </c>
      <c r="C38" s="59" t="s">
        <v>367</v>
      </c>
      <c r="D38" s="60" t="s">
        <v>368</v>
      </c>
      <c r="E38" s="43" t="s">
        <v>2</v>
      </c>
      <c r="F38" s="43" t="s">
        <v>2</v>
      </c>
      <c r="G38" s="43" t="s">
        <v>19</v>
      </c>
      <c r="H38" s="43" t="s">
        <v>19</v>
      </c>
      <c r="I38" s="43" t="s">
        <v>1</v>
      </c>
      <c r="J38" s="43" t="s">
        <v>1</v>
      </c>
      <c r="K38" s="43" t="s">
        <v>1</v>
      </c>
      <c r="L38" s="43" t="s">
        <v>19</v>
      </c>
      <c r="M38" s="43" t="s">
        <v>19</v>
      </c>
      <c r="N38" s="43" t="s">
        <v>0</v>
      </c>
      <c r="O38" s="43" t="s">
        <v>0</v>
      </c>
      <c r="P38" s="43" t="s">
        <v>0</v>
      </c>
      <c r="Q38" s="43" t="s">
        <v>19</v>
      </c>
      <c r="R38" s="43" t="s">
        <v>19</v>
      </c>
      <c r="S38" s="43" t="s">
        <v>2</v>
      </c>
      <c r="T38" s="43" t="s">
        <v>2</v>
      </c>
      <c r="U38" s="43" t="s">
        <v>2</v>
      </c>
      <c r="V38" s="43" t="s">
        <v>19</v>
      </c>
      <c r="W38" s="43" t="s">
        <v>19</v>
      </c>
      <c r="X38" s="43" t="s">
        <v>1</v>
      </c>
      <c r="Y38" s="43" t="s">
        <v>1</v>
      </c>
      <c r="Z38" s="43" t="s">
        <v>1</v>
      </c>
      <c r="AA38" s="43" t="s">
        <v>19</v>
      </c>
      <c r="AB38" s="43" t="s">
        <v>19</v>
      </c>
      <c r="AC38" s="43" t="s">
        <v>0</v>
      </c>
      <c r="AD38" s="43" t="s">
        <v>0</v>
      </c>
      <c r="AE38" s="43" t="s">
        <v>0</v>
      </c>
      <c r="AF38" s="51" t="s">
        <v>401</v>
      </c>
      <c r="AG38" s="43" t="s">
        <v>19</v>
      </c>
      <c r="AH38" s="43" t="s">
        <v>2</v>
      </c>
      <c r="AJ38" s="42">
        <f t="shared" si="0"/>
        <v>152</v>
      </c>
      <c r="AL38" s="111"/>
      <c r="AM38" s="111"/>
      <c r="AN38" s="111"/>
      <c r="AO38" s="111"/>
      <c r="AP38" s="111"/>
      <c r="AQ38" s="111"/>
      <c r="AR38" s="111"/>
      <c r="AS38" s="111"/>
      <c r="AT38" s="111"/>
      <c r="AU38" s="111"/>
      <c r="AV38" s="111"/>
      <c r="AW38" s="111"/>
      <c r="AX38" s="111"/>
      <c r="AY38" s="111"/>
      <c r="AZ38" s="111"/>
      <c r="BA38" s="111"/>
      <c r="BB38" s="111"/>
      <c r="BC38" s="111"/>
      <c r="BD38" s="111"/>
    </row>
    <row r="39" spans="1:56" s="10" customFormat="1" ht="20.100000000000001" customHeight="1" x14ac:dyDescent="0.2">
      <c r="A39" s="41"/>
      <c r="B39" s="58">
        <v>24</v>
      </c>
      <c r="C39" s="59" t="s">
        <v>369</v>
      </c>
      <c r="D39" s="60" t="s">
        <v>370</v>
      </c>
      <c r="E39" s="47" t="s">
        <v>16</v>
      </c>
      <c r="F39" s="47" t="s">
        <v>16</v>
      </c>
      <c r="G39" s="43" t="s">
        <v>19</v>
      </c>
      <c r="H39" s="43" t="s">
        <v>19</v>
      </c>
      <c r="I39" s="43" t="s">
        <v>1</v>
      </c>
      <c r="J39" s="43" t="s">
        <v>1</v>
      </c>
      <c r="K39" s="43" t="s">
        <v>1</v>
      </c>
      <c r="L39" s="43" t="s">
        <v>19</v>
      </c>
      <c r="M39" s="43" t="s">
        <v>19</v>
      </c>
      <c r="N39" s="43" t="s">
        <v>0</v>
      </c>
      <c r="O39" s="43" t="s">
        <v>0</v>
      </c>
      <c r="P39" s="43" t="s">
        <v>0</v>
      </c>
      <c r="Q39" s="43" t="s">
        <v>19</v>
      </c>
      <c r="R39" s="51" t="s">
        <v>401</v>
      </c>
      <c r="S39" s="43" t="s">
        <v>2</v>
      </c>
      <c r="T39" s="43" t="s">
        <v>2</v>
      </c>
      <c r="U39" s="43" t="s">
        <v>2</v>
      </c>
      <c r="V39" s="43" t="s">
        <v>19</v>
      </c>
      <c r="W39" s="43" t="s">
        <v>19</v>
      </c>
      <c r="X39" s="43" t="s">
        <v>1</v>
      </c>
      <c r="Y39" s="43" t="s">
        <v>1</v>
      </c>
      <c r="Z39" s="43" t="s">
        <v>1</v>
      </c>
      <c r="AA39" s="43" t="s">
        <v>19</v>
      </c>
      <c r="AB39" s="43" t="s">
        <v>19</v>
      </c>
      <c r="AC39" s="43" t="s">
        <v>0</v>
      </c>
      <c r="AD39" s="43" t="s">
        <v>0</v>
      </c>
      <c r="AE39" s="43" t="s">
        <v>0</v>
      </c>
      <c r="AF39" s="51" t="s">
        <v>401</v>
      </c>
      <c r="AG39" s="43" t="s">
        <v>19</v>
      </c>
      <c r="AH39" s="46" t="s">
        <v>1</v>
      </c>
      <c r="AJ39" s="42">
        <f t="shared" si="0"/>
        <v>144</v>
      </c>
      <c r="AL39" s="111"/>
      <c r="AM39" s="111"/>
      <c r="AN39" s="111"/>
      <c r="AO39" s="111"/>
      <c r="AP39" s="111"/>
      <c r="AQ39" s="111"/>
      <c r="AR39" s="111"/>
      <c r="AS39" s="111"/>
      <c r="AT39" s="111"/>
      <c r="AU39" s="111"/>
      <c r="AV39" s="111"/>
      <c r="AW39" s="111"/>
      <c r="AX39" s="111"/>
      <c r="AY39" s="111"/>
      <c r="AZ39" s="111"/>
      <c r="BA39" s="111"/>
      <c r="BB39" s="111"/>
      <c r="BC39" s="111"/>
      <c r="BD39" s="111"/>
    </row>
    <row r="40" spans="1:56" s="10" customFormat="1" ht="20.100000000000001" customHeight="1" x14ac:dyDescent="0.2">
      <c r="A40" s="41"/>
      <c r="B40" s="58">
        <v>25</v>
      </c>
      <c r="C40" s="59" t="s">
        <v>409</v>
      </c>
      <c r="D40" s="60" t="s">
        <v>371</v>
      </c>
      <c r="E40" s="43" t="s">
        <v>2</v>
      </c>
      <c r="F40" s="43" t="s">
        <v>2</v>
      </c>
      <c r="G40" s="43" t="s">
        <v>19</v>
      </c>
      <c r="H40" s="43" t="s">
        <v>19</v>
      </c>
      <c r="I40" s="43" t="s">
        <v>1</v>
      </c>
      <c r="J40" s="46" t="s">
        <v>2</v>
      </c>
      <c r="K40" s="46" t="s">
        <v>2</v>
      </c>
      <c r="L40" s="43" t="s">
        <v>19</v>
      </c>
      <c r="M40" s="43" t="s">
        <v>19</v>
      </c>
      <c r="N40" s="46" t="s">
        <v>19</v>
      </c>
      <c r="O40" s="43" t="s">
        <v>0</v>
      </c>
      <c r="P40" s="43" t="s">
        <v>0</v>
      </c>
      <c r="Q40" s="43" t="s">
        <v>19</v>
      </c>
      <c r="R40" s="43" t="s">
        <v>19</v>
      </c>
      <c r="S40" s="46" t="s">
        <v>0</v>
      </c>
      <c r="T40" s="46" t="s">
        <v>0</v>
      </c>
      <c r="U40" s="46" t="s">
        <v>19</v>
      </c>
      <c r="V40" s="43" t="s">
        <v>19</v>
      </c>
      <c r="W40" s="43" t="s">
        <v>19</v>
      </c>
      <c r="X40" s="43" t="s">
        <v>1</v>
      </c>
      <c r="Y40" s="43" t="s">
        <v>1</v>
      </c>
      <c r="Z40" s="43" t="s">
        <v>1</v>
      </c>
      <c r="AA40" s="43" t="s">
        <v>19</v>
      </c>
      <c r="AB40" s="46" t="s">
        <v>0</v>
      </c>
      <c r="AC40" s="43" t="s">
        <v>0</v>
      </c>
      <c r="AD40" s="46" t="s">
        <v>2</v>
      </c>
      <c r="AE40" s="46" t="s">
        <v>19</v>
      </c>
      <c r="AF40" s="43" t="s">
        <v>19</v>
      </c>
      <c r="AG40" s="46" t="s">
        <v>1</v>
      </c>
      <c r="AH40" s="43" t="s">
        <v>2</v>
      </c>
      <c r="AJ40" s="42">
        <f t="shared" si="0"/>
        <v>136</v>
      </c>
      <c r="AL40" s="111"/>
      <c r="AM40" s="111"/>
      <c r="AN40" s="111"/>
      <c r="AO40" s="111"/>
      <c r="AP40" s="111"/>
      <c r="AQ40" s="111"/>
      <c r="AR40" s="111"/>
      <c r="AS40" s="111"/>
      <c r="AT40" s="111"/>
      <c r="AU40" s="111"/>
      <c r="AV40" s="111"/>
      <c r="AW40" s="111"/>
      <c r="AX40" s="111"/>
      <c r="AY40" s="111"/>
      <c r="AZ40" s="111"/>
      <c r="BA40" s="111"/>
      <c r="BB40" s="111"/>
      <c r="BC40" s="111"/>
      <c r="BD40" s="111"/>
    </row>
    <row r="41" spans="1:56" s="10" customFormat="1" ht="20.100000000000001" customHeight="1" x14ac:dyDescent="0.2">
      <c r="A41" s="41"/>
      <c r="B41" s="61">
        <v>26</v>
      </c>
      <c r="C41" s="62" t="s">
        <v>410</v>
      </c>
      <c r="D41" s="63" t="s">
        <v>372</v>
      </c>
      <c r="E41" s="43" t="s">
        <v>19</v>
      </c>
      <c r="F41" s="43" t="s">
        <v>1</v>
      </c>
      <c r="G41" s="43" t="s">
        <v>1</v>
      </c>
      <c r="H41" s="43" t="s">
        <v>1</v>
      </c>
      <c r="I41" s="43" t="s">
        <v>19</v>
      </c>
      <c r="J41" s="43" t="s">
        <v>19</v>
      </c>
      <c r="K41" s="46" t="s">
        <v>19</v>
      </c>
      <c r="L41" s="110"/>
      <c r="M41" s="43" t="s">
        <v>0</v>
      </c>
      <c r="N41" s="43" t="s">
        <v>19</v>
      </c>
      <c r="O41" s="43" t="s">
        <v>19</v>
      </c>
      <c r="P41" s="43" t="s">
        <v>2</v>
      </c>
      <c r="Q41" s="43" t="s">
        <v>2</v>
      </c>
      <c r="R41" s="43" t="s">
        <v>2</v>
      </c>
      <c r="S41" s="43" t="s">
        <v>19</v>
      </c>
      <c r="T41" s="43" t="s">
        <v>19</v>
      </c>
      <c r="U41" s="43" t="s">
        <v>1</v>
      </c>
      <c r="V41" s="43" t="s">
        <v>1</v>
      </c>
      <c r="W41" s="43" t="s">
        <v>1</v>
      </c>
      <c r="X41" s="43" t="s">
        <v>19</v>
      </c>
      <c r="Y41" s="51" t="s">
        <v>401</v>
      </c>
      <c r="Z41" s="43" t="s">
        <v>0</v>
      </c>
      <c r="AA41" s="43" t="s">
        <v>0</v>
      </c>
      <c r="AB41" s="43" t="s">
        <v>0</v>
      </c>
      <c r="AC41" s="43" t="s">
        <v>19</v>
      </c>
      <c r="AD41" s="43" t="s">
        <v>19</v>
      </c>
      <c r="AE41" s="43" t="s">
        <v>2</v>
      </c>
      <c r="AF41" s="43" t="s">
        <v>2</v>
      </c>
      <c r="AG41" s="43" t="s">
        <v>2</v>
      </c>
      <c r="AH41" s="43" t="s">
        <v>19</v>
      </c>
      <c r="AJ41" s="42">
        <f t="shared" si="0"/>
        <v>136</v>
      </c>
      <c r="AL41" s="111"/>
      <c r="AM41" s="111"/>
      <c r="AN41" s="111"/>
      <c r="AO41" s="111"/>
      <c r="AP41" s="111"/>
      <c r="AQ41" s="111"/>
      <c r="AR41" s="111"/>
      <c r="AS41" s="111"/>
      <c r="AT41" s="111"/>
      <c r="AU41" s="111"/>
      <c r="AV41" s="111"/>
      <c r="AW41" s="111"/>
      <c r="AX41" s="111"/>
      <c r="AY41" s="111"/>
      <c r="AZ41" s="111"/>
      <c r="BA41" s="111"/>
      <c r="BB41" s="111"/>
      <c r="BC41" s="111"/>
      <c r="BD41" s="111"/>
    </row>
    <row r="42" spans="1:56" s="10" customFormat="1" ht="20.100000000000001" customHeight="1" x14ac:dyDescent="0.2">
      <c r="A42" s="41"/>
      <c r="B42" s="61">
        <v>27</v>
      </c>
      <c r="C42" s="62" t="s">
        <v>420</v>
      </c>
      <c r="D42" s="63" t="s">
        <v>373</v>
      </c>
      <c r="E42" s="43" t="s">
        <v>19</v>
      </c>
      <c r="F42" s="43" t="s">
        <v>1</v>
      </c>
      <c r="G42" s="46" t="s">
        <v>0</v>
      </c>
      <c r="H42" s="46" t="s">
        <v>0</v>
      </c>
      <c r="I42" s="43" t="s">
        <v>19</v>
      </c>
      <c r="J42" s="43" t="s">
        <v>19</v>
      </c>
      <c r="K42" s="43" t="s">
        <v>0</v>
      </c>
      <c r="L42" s="110"/>
      <c r="M42" s="43" t="s">
        <v>0</v>
      </c>
      <c r="N42" s="108"/>
      <c r="O42" s="43" t="s">
        <v>19</v>
      </c>
      <c r="P42" s="43" t="s">
        <v>2</v>
      </c>
      <c r="Q42" s="43" t="s">
        <v>2</v>
      </c>
      <c r="R42" s="43" t="s">
        <v>2</v>
      </c>
      <c r="S42" s="43" t="s">
        <v>19</v>
      </c>
      <c r="T42" s="43" t="s">
        <v>19</v>
      </c>
      <c r="U42" s="43" t="s">
        <v>1</v>
      </c>
      <c r="V42" s="43" t="s">
        <v>1</v>
      </c>
      <c r="W42" s="43" t="s">
        <v>1</v>
      </c>
      <c r="X42" s="51" t="s">
        <v>400</v>
      </c>
      <c r="Y42" s="43" t="s">
        <v>19</v>
      </c>
      <c r="Z42" s="43" t="s">
        <v>0</v>
      </c>
      <c r="AA42" s="43" t="s">
        <v>0</v>
      </c>
      <c r="AB42" s="43" t="s">
        <v>0</v>
      </c>
      <c r="AC42" s="51" t="s">
        <v>401</v>
      </c>
      <c r="AD42" s="43" t="s">
        <v>19</v>
      </c>
      <c r="AE42" s="43" t="s">
        <v>2</v>
      </c>
      <c r="AF42" s="43" t="s">
        <v>2</v>
      </c>
      <c r="AG42" s="43" t="s">
        <v>2</v>
      </c>
      <c r="AH42" s="43" t="s">
        <v>19</v>
      </c>
      <c r="AJ42" s="42">
        <f t="shared" si="0"/>
        <v>152</v>
      </c>
      <c r="AL42" s="111"/>
      <c r="AM42" s="111"/>
      <c r="AN42" s="111"/>
      <c r="AO42" s="111"/>
      <c r="AP42" s="111"/>
      <c r="AQ42" s="111"/>
      <c r="AR42" s="111"/>
      <c r="AS42" s="111"/>
      <c r="AT42" s="111"/>
      <c r="AU42" s="111"/>
      <c r="AV42" s="111"/>
      <c r="AW42" s="111"/>
      <c r="AX42" s="111"/>
      <c r="AY42" s="111"/>
      <c r="AZ42" s="111"/>
      <c r="BA42" s="111"/>
      <c r="BB42" s="111"/>
      <c r="BC42" s="111"/>
      <c r="BD42" s="111"/>
    </row>
    <row r="43" spans="1:56" s="10" customFormat="1" ht="20.100000000000001" customHeight="1" x14ac:dyDescent="0.2">
      <c r="A43" s="41"/>
      <c r="B43" s="61">
        <v>28</v>
      </c>
      <c r="C43" s="62" t="s">
        <v>374</v>
      </c>
      <c r="D43" s="63" t="s">
        <v>375</v>
      </c>
      <c r="E43" s="43" t="s">
        <v>19</v>
      </c>
      <c r="F43" s="43" t="s">
        <v>1</v>
      </c>
      <c r="G43" s="43" t="s">
        <v>1</v>
      </c>
      <c r="H43" s="43" t="s">
        <v>1</v>
      </c>
      <c r="I43" s="43" t="s">
        <v>19</v>
      </c>
      <c r="J43" s="43" t="s">
        <v>19</v>
      </c>
      <c r="K43" s="43" t="s">
        <v>0</v>
      </c>
      <c r="L43" s="43" t="s">
        <v>0</v>
      </c>
      <c r="M43" s="46" t="s">
        <v>19</v>
      </c>
      <c r="N43" s="43" t="s">
        <v>19</v>
      </c>
      <c r="O43" s="43" t="s">
        <v>19</v>
      </c>
      <c r="P43" s="43" t="s">
        <v>427</v>
      </c>
      <c r="Q43" s="43" t="s">
        <v>2</v>
      </c>
      <c r="R43" s="43" t="s">
        <v>2</v>
      </c>
      <c r="S43" s="43" t="s">
        <v>19</v>
      </c>
      <c r="T43" s="43" t="s">
        <v>19</v>
      </c>
      <c r="U43" s="43" t="s">
        <v>1</v>
      </c>
      <c r="V43" s="43" t="s">
        <v>1</v>
      </c>
      <c r="W43" s="43" t="s">
        <v>1</v>
      </c>
      <c r="X43" s="46" t="s">
        <v>1</v>
      </c>
      <c r="Y43" s="43" t="s">
        <v>19</v>
      </c>
      <c r="Z43" s="43" t="s">
        <v>426</v>
      </c>
      <c r="AA43" s="43" t="s">
        <v>0</v>
      </c>
      <c r="AB43" s="43" t="s">
        <v>0</v>
      </c>
      <c r="AC43" s="43" t="s">
        <v>19</v>
      </c>
      <c r="AD43" s="43" t="s">
        <v>19</v>
      </c>
      <c r="AE43" s="43" t="s">
        <v>2</v>
      </c>
      <c r="AF43" s="43" t="s">
        <v>2</v>
      </c>
      <c r="AG43" s="109" t="s">
        <v>15</v>
      </c>
      <c r="AH43" s="43" t="s">
        <v>19</v>
      </c>
      <c r="AJ43" s="42">
        <f t="shared" si="0"/>
        <v>144</v>
      </c>
      <c r="AL43" s="111"/>
      <c r="AM43" s="111"/>
      <c r="AN43" s="111"/>
      <c r="AO43" s="111"/>
      <c r="AP43" s="111"/>
      <c r="AQ43" s="111"/>
      <c r="AR43" s="111"/>
      <c r="AS43" s="111"/>
      <c r="AT43" s="111"/>
      <c r="AU43" s="111"/>
      <c r="AV43" s="111"/>
      <c r="AW43" s="111"/>
      <c r="AX43" s="111"/>
      <c r="AY43" s="111"/>
      <c r="AZ43" s="111"/>
      <c r="BA43" s="111"/>
      <c r="BB43" s="111"/>
      <c r="BC43" s="111"/>
      <c r="BD43" s="111"/>
    </row>
    <row r="44" spans="1:56" s="10" customFormat="1" ht="20.100000000000001" customHeight="1" x14ac:dyDescent="0.2">
      <c r="A44" s="41"/>
      <c r="B44" s="61">
        <v>29</v>
      </c>
      <c r="C44" s="62" t="s">
        <v>425</v>
      </c>
      <c r="D44" s="63" t="s">
        <v>402</v>
      </c>
      <c r="E44" s="43" t="s">
        <v>0</v>
      </c>
      <c r="F44" s="43" t="s">
        <v>0</v>
      </c>
      <c r="G44" s="43" t="s">
        <v>0</v>
      </c>
      <c r="H44" s="43" t="s">
        <v>19</v>
      </c>
      <c r="I44" s="43" t="s">
        <v>19</v>
      </c>
      <c r="J44" s="43" t="s">
        <v>2</v>
      </c>
      <c r="K44" s="43" t="s">
        <v>2</v>
      </c>
      <c r="L44" s="43" t="s">
        <v>2</v>
      </c>
      <c r="M44" s="43" t="s">
        <v>19</v>
      </c>
      <c r="N44" s="46" t="s">
        <v>0</v>
      </c>
      <c r="O44" s="43" t="s">
        <v>19</v>
      </c>
      <c r="P44" s="43" t="s">
        <v>2</v>
      </c>
      <c r="Q44" s="43" t="s">
        <v>2</v>
      </c>
      <c r="R44" s="43" t="s">
        <v>2</v>
      </c>
      <c r="S44" s="43" t="s">
        <v>19</v>
      </c>
      <c r="T44" s="43" t="s">
        <v>19</v>
      </c>
      <c r="U44" s="43" t="s">
        <v>1</v>
      </c>
      <c r="V44" s="43" t="s">
        <v>1</v>
      </c>
      <c r="W44" s="43" t="s">
        <v>1</v>
      </c>
      <c r="X44" s="43" t="s">
        <v>19</v>
      </c>
      <c r="Y44" s="108"/>
      <c r="Z44" s="43" t="s">
        <v>0</v>
      </c>
      <c r="AA44" s="43" t="s">
        <v>426</v>
      </c>
      <c r="AB44" s="46" t="s">
        <v>19</v>
      </c>
      <c r="AC44" s="43" t="s">
        <v>19</v>
      </c>
      <c r="AD44" s="43" t="s">
        <v>19</v>
      </c>
      <c r="AE44" s="43" t="s">
        <v>1</v>
      </c>
      <c r="AF44" s="43" t="s">
        <v>1</v>
      </c>
      <c r="AG44" s="43" t="s">
        <v>1</v>
      </c>
      <c r="AH44" s="43" t="s">
        <v>19</v>
      </c>
      <c r="AJ44" s="42">
        <f t="shared" si="0"/>
        <v>148</v>
      </c>
      <c r="AL44" s="111"/>
      <c r="AM44" s="111"/>
      <c r="AN44" s="111"/>
      <c r="AO44" s="111"/>
      <c r="AP44" s="111"/>
      <c r="AQ44" s="111"/>
      <c r="AR44" s="111"/>
      <c r="AS44" s="111"/>
      <c r="AT44" s="111"/>
      <c r="AU44" s="111"/>
      <c r="AV44" s="111"/>
      <c r="AW44" s="111"/>
      <c r="AX44" s="111"/>
      <c r="AY44" s="111"/>
      <c r="AZ44" s="111"/>
      <c r="BA44" s="111"/>
      <c r="BB44" s="111"/>
      <c r="BC44" s="111"/>
      <c r="BD44" s="111"/>
    </row>
    <row r="45" spans="1:56" s="10" customFormat="1" ht="20.100000000000001" customHeight="1" x14ac:dyDescent="0.2">
      <c r="A45" s="41"/>
      <c r="B45" s="61">
        <v>30</v>
      </c>
      <c r="C45" s="62" t="s">
        <v>385</v>
      </c>
      <c r="D45" s="63" t="s">
        <v>377</v>
      </c>
      <c r="E45" s="43" t="s">
        <v>19</v>
      </c>
      <c r="F45" s="43" t="s">
        <v>1</v>
      </c>
      <c r="G45" s="43" t="s">
        <v>1</v>
      </c>
      <c r="H45" s="43" t="s">
        <v>1</v>
      </c>
      <c r="I45" s="43" t="s">
        <v>19</v>
      </c>
      <c r="J45" s="43" t="s">
        <v>19</v>
      </c>
      <c r="K45" s="43" t="s">
        <v>0</v>
      </c>
      <c r="L45" s="43" t="s">
        <v>0</v>
      </c>
      <c r="M45" s="43" t="s">
        <v>0</v>
      </c>
      <c r="N45" s="43" t="s">
        <v>19</v>
      </c>
      <c r="O45" s="43" t="s">
        <v>19</v>
      </c>
      <c r="P45" s="43" t="s">
        <v>2</v>
      </c>
      <c r="Q45" s="43" t="s">
        <v>2</v>
      </c>
      <c r="R45" s="43" t="s">
        <v>2</v>
      </c>
      <c r="S45" s="43" t="s">
        <v>19</v>
      </c>
      <c r="T45" s="43" t="s">
        <v>19</v>
      </c>
      <c r="U45" s="43" t="s">
        <v>1</v>
      </c>
      <c r="V45" s="43" t="s">
        <v>1</v>
      </c>
      <c r="W45" s="43" t="s">
        <v>1</v>
      </c>
      <c r="X45" s="43" t="s">
        <v>19</v>
      </c>
      <c r="Y45" s="51" t="s">
        <v>400</v>
      </c>
      <c r="Z45" s="43" t="s">
        <v>0</v>
      </c>
      <c r="AA45" s="43" t="s">
        <v>0</v>
      </c>
      <c r="AB45" s="46" t="s">
        <v>19</v>
      </c>
      <c r="AC45" s="46" t="s">
        <v>0</v>
      </c>
      <c r="AD45" s="43" t="s">
        <v>19</v>
      </c>
      <c r="AE45" s="43" t="s">
        <v>2</v>
      </c>
      <c r="AF45" s="43" t="s">
        <v>2</v>
      </c>
      <c r="AG45" s="43" t="s">
        <v>2</v>
      </c>
      <c r="AH45" s="43" t="s">
        <v>19</v>
      </c>
      <c r="AJ45" s="42">
        <f t="shared" si="0"/>
        <v>152</v>
      </c>
      <c r="AL45" s="111"/>
      <c r="AM45" s="111"/>
      <c r="AN45" s="111"/>
      <c r="AO45" s="111"/>
      <c r="AP45" s="111"/>
      <c r="AQ45" s="111"/>
      <c r="AR45" s="111"/>
      <c r="AS45" s="111"/>
      <c r="AT45" s="111"/>
      <c r="AU45" s="111"/>
      <c r="AV45" s="111"/>
      <c r="AW45" s="111"/>
      <c r="AX45" s="111"/>
      <c r="AY45" s="111"/>
      <c r="AZ45" s="111"/>
      <c r="BA45" s="111"/>
      <c r="BB45" s="111"/>
      <c r="BC45" s="111"/>
      <c r="BD45" s="111"/>
    </row>
    <row r="46" spans="1:56" s="10" customFormat="1" ht="20.100000000000001" customHeight="1" x14ac:dyDescent="0.2">
      <c r="A46" s="41"/>
      <c r="B46" s="61">
        <v>31</v>
      </c>
      <c r="C46" s="62" t="s">
        <v>378</v>
      </c>
      <c r="D46" s="63" t="s">
        <v>379</v>
      </c>
      <c r="E46" s="43" t="s">
        <v>19</v>
      </c>
      <c r="F46" s="43" t="s">
        <v>1</v>
      </c>
      <c r="G46" s="43" t="s">
        <v>1</v>
      </c>
      <c r="H46" s="43" t="s">
        <v>1</v>
      </c>
      <c r="I46" s="43" t="s">
        <v>19</v>
      </c>
      <c r="J46" s="43" t="s">
        <v>19</v>
      </c>
      <c r="K46" s="43" t="s">
        <v>0</v>
      </c>
      <c r="L46" s="43" t="s">
        <v>0</v>
      </c>
      <c r="M46" s="43" t="s">
        <v>0</v>
      </c>
      <c r="N46" s="43" t="s">
        <v>19</v>
      </c>
      <c r="O46" s="43" t="s">
        <v>19</v>
      </c>
      <c r="P46" s="46" t="s">
        <v>19</v>
      </c>
      <c r="Q46" s="46" t="s">
        <v>1</v>
      </c>
      <c r="R46" s="43" t="s">
        <v>2</v>
      </c>
      <c r="S46" s="43" t="s">
        <v>19</v>
      </c>
      <c r="T46" s="46" t="s">
        <v>1</v>
      </c>
      <c r="U46" s="43" t="s">
        <v>1</v>
      </c>
      <c r="V46" s="46" t="s">
        <v>19</v>
      </c>
      <c r="W46" s="43" t="s">
        <v>1</v>
      </c>
      <c r="X46" s="43" t="s">
        <v>19</v>
      </c>
      <c r="Y46" s="43" t="s">
        <v>19</v>
      </c>
      <c r="Z46" s="46" t="s">
        <v>2</v>
      </c>
      <c r="AA46" s="46" t="s">
        <v>2</v>
      </c>
      <c r="AB46" s="46" t="s">
        <v>2</v>
      </c>
      <c r="AC46" s="46" t="s">
        <v>2</v>
      </c>
      <c r="AD46" s="43" t="s">
        <v>19</v>
      </c>
      <c r="AE46" s="43" t="s">
        <v>2</v>
      </c>
      <c r="AF46" s="43" t="s">
        <v>2</v>
      </c>
      <c r="AG46" s="43" t="s">
        <v>2</v>
      </c>
      <c r="AH46" s="43" t="s">
        <v>19</v>
      </c>
      <c r="AJ46" s="42">
        <f t="shared" si="0"/>
        <v>144</v>
      </c>
      <c r="AL46" s="111"/>
      <c r="AM46" s="111"/>
      <c r="AN46" s="111"/>
      <c r="AO46" s="111"/>
      <c r="AP46" s="111"/>
      <c r="AQ46" s="111"/>
      <c r="AR46" s="111"/>
      <c r="AS46" s="111"/>
      <c r="AT46" s="111"/>
      <c r="AU46" s="111"/>
      <c r="AV46" s="111"/>
      <c r="AW46" s="111"/>
      <c r="AX46" s="111"/>
      <c r="AY46" s="111"/>
      <c r="AZ46" s="111"/>
      <c r="BA46" s="111"/>
      <c r="BB46" s="111"/>
      <c r="BC46" s="111"/>
      <c r="BD46" s="111"/>
    </row>
    <row r="47" spans="1:56" s="10" customFormat="1" ht="20.100000000000001" customHeight="1" x14ac:dyDescent="0.2">
      <c r="A47" s="41"/>
      <c r="B47" s="69">
        <v>32</v>
      </c>
      <c r="C47" s="68" t="s">
        <v>365</v>
      </c>
      <c r="D47" s="70" t="s">
        <v>366</v>
      </c>
      <c r="E47" s="43" t="s">
        <v>19</v>
      </c>
      <c r="F47" s="43" t="s">
        <v>1</v>
      </c>
      <c r="G47" s="43" t="s">
        <v>1</v>
      </c>
      <c r="H47" s="43" t="s">
        <v>1</v>
      </c>
      <c r="I47" s="46" t="s">
        <v>1</v>
      </c>
      <c r="J47" s="46" t="s">
        <v>1</v>
      </c>
      <c r="K47" s="46" t="s">
        <v>19</v>
      </c>
      <c r="L47" s="46" t="s">
        <v>19</v>
      </c>
      <c r="M47" s="43" t="s">
        <v>1</v>
      </c>
      <c r="N47" s="46" t="s">
        <v>1</v>
      </c>
      <c r="O47" s="43" t="s">
        <v>19</v>
      </c>
      <c r="P47" s="43" t="s">
        <v>1</v>
      </c>
      <c r="Q47" s="43" t="s">
        <v>1</v>
      </c>
      <c r="R47" s="43" t="s">
        <v>19</v>
      </c>
      <c r="S47" s="43" t="s">
        <v>19</v>
      </c>
      <c r="T47" s="43" t="s">
        <v>1</v>
      </c>
      <c r="U47" s="43" t="s">
        <v>1</v>
      </c>
      <c r="V47" s="43" t="s">
        <v>1</v>
      </c>
      <c r="W47" s="46" t="s">
        <v>1</v>
      </c>
      <c r="X47" s="43" t="s">
        <v>19</v>
      </c>
      <c r="Y47" s="46" t="s">
        <v>19</v>
      </c>
      <c r="Z47" s="46" t="s">
        <v>19</v>
      </c>
      <c r="AA47" s="46" t="s">
        <v>19</v>
      </c>
      <c r="AB47" s="46" t="s">
        <v>2</v>
      </c>
      <c r="AC47" s="43" t="s">
        <v>19</v>
      </c>
      <c r="AD47" s="43" t="s">
        <v>1</v>
      </c>
      <c r="AE47" s="71" t="s">
        <v>19</v>
      </c>
      <c r="AF47" s="43" t="s">
        <v>2</v>
      </c>
      <c r="AG47" s="43" t="s">
        <v>2</v>
      </c>
      <c r="AH47" s="43" t="s">
        <v>2</v>
      </c>
      <c r="AJ47" s="42">
        <f t="shared" si="0"/>
        <v>144</v>
      </c>
      <c r="AL47" s="111"/>
      <c r="AM47" s="111"/>
      <c r="AN47" s="111"/>
      <c r="AO47" s="111"/>
      <c r="AP47" s="111"/>
      <c r="AQ47" s="111"/>
      <c r="AR47" s="111"/>
      <c r="AS47" s="111"/>
      <c r="AT47" s="111"/>
      <c r="AU47" s="111"/>
      <c r="AV47" s="111"/>
      <c r="AW47" s="111"/>
      <c r="AX47" s="111"/>
      <c r="AY47" s="111"/>
      <c r="AZ47" s="111"/>
      <c r="BA47" s="111"/>
      <c r="BB47" s="111"/>
      <c r="BC47" s="111"/>
      <c r="BD47" s="111"/>
    </row>
    <row r="48" spans="1:56" s="10" customFormat="1" ht="20.100000000000001" customHeight="1" x14ac:dyDescent="0.2">
      <c r="A48" s="41"/>
      <c r="B48" s="64">
        <v>33</v>
      </c>
      <c r="C48" s="65" t="s">
        <v>395</v>
      </c>
      <c r="D48" s="66" t="s">
        <v>397</v>
      </c>
      <c r="E48" s="71" t="s">
        <v>19</v>
      </c>
      <c r="F48" s="71" t="s">
        <v>19</v>
      </c>
      <c r="G48" s="72" t="s">
        <v>19</v>
      </c>
      <c r="H48" s="71" t="s">
        <v>19</v>
      </c>
      <c r="I48" s="72" t="s">
        <v>19</v>
      </c>
      <c r="J48" s="72" t="s">
        <v>17</v>
      </c>
      <c r="K48" s="71" t="s">
        <v>19</v>
      </c>
      <c r="L48" s="72" t="s">
        <v>17</v>
      </c>
      <c r="M48" s="72" t="s">
        <v>17</v>
      </c>
      <c r="N48" s="71" t="s">
        <v>19</v>
      </c>
      <c r="O48" s="71" t="s">
        <v>19</v>
      </c>
      <c r="P48" s="43" t="s">
        <v>17</v>
      </c>
      <c r="Q48" s="43" t="s">
        <v>17</v>
      </c>
      <c r="R48" s="43" t="s">
        <v>17</v>
      </c>
      <c r="S48" s="43" t="s">
        <v>17</v>
      </c>
      <c r="T48" s="43" t="s">
        <v>17</v>
      </c>
      <c r="U48" s="43" t="s">
        <v>19</v>
      </c>
      <c r="V48" s="43" t="s">
        <v>19</v>
      </c>
      <c r="W48" s="43" t="s">
        <v>17</v>
      </c>
      <c r="X48" s="43" t="s">
        <v>17</v>
      </c>
      <c r="Y48" s="43" t="s">
        <v>17</v>
      </c>
      <c r="Z48" s="43" t="s">
        <v>17</v>
      </c>
      <c r="AA48" s="43" t="s">
        <v>17</v>
      </c>
      <c r="AB48" s="43" t="s">
        <v>19</v>
      </c>
      <c r="AC48" s="43" t="s">
        <v>19</v>
      </c>
      <c r="AD48" s="43" t="s">
        <v>17</v>
      </c>
      <c r="AE48" s="43" t="s">
        <v>17</v>
      </c>
      <c r="AF48" s="43" t="s">
        <v>17</v>
      </c>
      <c r="AG48" s="43" t="s">
        <v>17</v>
      </c>
      <c r="AH48" s="43" t="s">
        <v>17</v>
      </c>
      <c r="AJ48" s="42">
        <f t="shared" si="0"/>
        <v>0</v>
      </c>
      <c r="AL48" s="111"/>
      <c r="AM48" s="111"/>
      <c r="AN48" s="111"/>
      <c r="AO48" s="111"/>
      <c r="AP48" s="111"/>
      <c r="AQ48" s="111"/>
      <c r="AR48" s="111"/>
      <c r="AS48" s="111"/>
      <c r="AT48" s="111"/>
      <c r="AU48" s="111"/>
      <c r="AV48" s="111"/>
      <c r="AW48" s="111"/>
      <c r="AX48" s="111"/>
      <c r="AY48" s="111"/>
      <c r="AZ48" s="111"/>
      <c r="BA48" s="111"/>
      <c r="BB48" s="111"/>
      <c r="BC48" s="111"/>
      <c r="BD48" s="111"/>
    </row>
    <row r="49" spans="1:56" s="10" customFormat="1" ht="20.100000000000001" customHeight="1" x14ac:dyDescent="0.2">
      <c r="A49" s="41"/>
      <c r="B49" s="64">
        <v>34</v>
      </c>
      <c r="C49" s="65" t="s">
        <v>421</v>
      </c>
      <c r="D49" s="66" t="s">
        <v>380</v>
      </c>
      <c r="E49" s="43" t="s">
        <v>17</v>
      </c>
      <c r="F49" s="43" t="s">
        <v>17</v>
      </c>
      <c r="G49" s="43" t="s">
        <v>19</v>
      </c>
      <c r="H49" s="43" t="s">
        <v>19</v>
      </c>
      <c r="I49" s="43" t="s">
        <v>17</v>
      </c>
      <c r="J49" s="43" t="s">
        <v>17</v>
      </c>
      <c r="K49" s="43" t="s">
        <v>19</v>
      </c>
      <c r="L49" s="43" t="s">
        <v>17</v>
      </c>
      <c r="M49" s="43" t="s">
        <v>17</v>
      </c>
      <c r="N49" s="43" t="s">
        <v>19</v>
      </c>
      <c r="O49" s="43" t="s">
        <v>19</v>
      </c>
      <c r="P49" s="43" t="s">
        <v>17</v>
      </c>
      <c r="Q49" s="43" t="s">
        <v>17</v>
      </c>
      <c r="R49" s="43" t="s">
        <v>17</v>
      </c>
      <c r="S49" s="43" t="s">
        <v>17</v>
      </c>
      <c r="T49" s="43" t="s">
        <v>17</v>
      </c>
      <c r="U49" s="43" t="s">
        <v>19</v>
      </c>
      <c r="V49" s="43" t="s">
        <v>19</v>
      </c>
      <c r="W49" s="43" t="s">
        <v>17</v>
      </c>
      <c r="X49" s="43" t="s">
        <v>17</v>
      </c>
      <c r="Y49" s="43" t="s">
        <v>17</v>
      </c>
      <c r="Z49" s="43" t="s">
        <v>17</v>
      </c>
      <c r="AA49" s="43" t="s">
        <v>17</v>
      </c>
      <c r="AB49" s="43" t="s">
        <v>19</v>
      </c>
      <c r="AC49" s="43" t="s">
        <v>19</v>
      </c>
      <c r="AD49" s="43" t="s">
        <v>17</v>
      </c>
      <c r="AE49" s="43" t="s">
        <v>17</v>
      </c>
      <c r="AF49" s="43" t="s">
        <v>17</v>
      </c>
      <c r="AG49" s="43" t="s">
        <v>17</v>
      </c>
      <c r="AH49" s="43" t="s">
        <v>17</v>
      </c>
      <c r="AJ49" s="42">
        <f t="shared" si="0"/>
        <v>0</v>
      </c>
      <c r="AL49" s="111"/>
      <c r="AM49" s="111"/>
      <c r="AN49" s="111"/>
      <c r="AO49" s="111"/>
      <c r="AP49" s="111"/>
      <c r="AQ49" s="111"/>
      <c r="AR49" s="111"/>
      <c r="AS49" s="111"/>
      <c r="AT49" s="111"/>
      <c r="AU49" s="111"/>
      <c r="AV49" s="111"/>
      <c r="AW49" s="111"/>
      <c r="AX49" s="111"/>
      <c r="AY49" s="111"/>
      <c r="AZ49" s="111"/>
      <c r="BA49" s="111"/>
      <c r="BB49" s="111"/>
      <c r="BC49" s="111"/>
      <c r="BD49" s="111"/>
    </row>
    <row r="50" spans="1:56" ht="15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5"/>
      <c r="O50" s="2"/>
      <c r="P50" s="2"/>
      <c r="Q50" s="2"/>
      <c r="R50" s="2"/>
      <c r="S50" s="2"/>
      <c r="T50" s="2"/>
      <c r="U50" s="6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7"/>
      <c r="AJ50" s="7"/>
    </row>
    <row r="51" spans="1:56" ht="15" customHeight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5"/>
      <c r="O51" s="2"/>
      <c r="P51" s="2"/>
      <c r="Q51" s="2"/>
      <c r="R51" s="2"/>
      <c r="S51" s="2"/>
      <c r="T51" s="2"/>
      <c r="U51" s="6"/>
      <c r="V51" s="6"/>
      <c r="W51" s="6"/>
      <c r="X51" s="6"/>
      <c r="Y51" s="6"/>
      <c r="Z51" s="6"/>
      <c r="AA51" s="6"/>
      <c r="AB51" s="2"/>
      <c r="AC51" s="2"/>
      <c r="AD51" s="2"/>
      <c r="AE51" s="2"/>
      <c r="AF51" s="2"/>
      <c r="AG51" s="2"/>
      <c r="AH51" s="2"/>
      <c r="AI51" s="7"/>
      <c r="AJ51" s="7"/>
    </row>
    <row r="52" spans="1:56" ht="15" customHeight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5"/>
      <c r="O52" s="2"/>
      <c r="P52" s="2"/>
      <c r="Q52" s="2"/>
      <c r="R52" s="2"/>
      <c r="S52" s="2"/>
      <c r="T52" s="2"/>
      <c r="U52" s="6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7"/>
      <c r="AJ52" s="7"/>
    </row>
    <row r="53" spans="1:56" ht="15" customHeight="1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5"/>
      <c r="O53" s="2"/>
      <c r="P53" s="2"/>
      <c r="Q53" s="2"/>
      <c r="R53" s="2"/>
      <c r="S53" s="2"/>
      <c r="T53" s="2"/>
      <c r="U53" s="6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7"/>
      <c r="AJ53" s="7"/>
    </row>
    <row r="54" spans="1:56" ht="15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5"/>
      <c r="O54" s="2"/>
      <c r="P54" s="2"/>
      <c r="Q54" s="2"/>
      <c r="R54" s="2"/>
      <c r="S54" s="2"/>
      <c r="T54" s="2"/>
      <c r="U54" s="6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7"/>
      <c r="AJ54" s="7"/>
    </row>
    <row r="55" spans="1:56" ht="15" customHeight="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5"/>
      <c r="O55" s="2"/>
      <c r="P55" s="2"/>
      <c r="Q55" s="2"/>
      <c r="R55" s="2"/>
      <c r="S55" s="2"/>
      <c r="T55" s="2"/>
      <c r="U55" s="6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7"/>
      <c r="AJ55" s="7"/>
    </row>
    <row r="56" spans="1:56" ht="20.25" customHeight="1" x14ac:dyDescent="0.25">
      <c r="A56" s="2"/>
      <c r="B56" s="150" t="s">
        <v>381</v>
      </c>
      <c r="C56" s="150"/>
      <c r="D56" s="150"/>
      <c r="E56" s="40"/>
      <c r="F56" s="40"/>
      <c r="G56" s="40"/>
      <c r="H56" s="2"/>
      <c r="I56" s="2"/>
      <c r="J56" s="2"/>
      <c r="K56" s="2"/>
      <c r="L56" s="2"/>
      <c r="M56" s="2"/>
      <c r="N56" s="5"/>
      <c r="O56" s="2"/>
      <c r="P56" s="2"/>
      <c r="Q56" s="2"/>
      <c r="R56" s="2"/>
      <c r="S56" s="2"/>
      <c r="T56" s="2"/>
      <c r="U56" s="6"/>
      <c r="V56" s="2"/>
      <c r="W56" s="2"/>
      <c r="X56" s="2"/>
      <c r="Y56" s="2"/>
      <c r="Z56" s="150" t="s">
        <v>422</v>
      </c>
      <c r="AA56" s="150"/>
      <c r="AB56" s="150"/>
      <c r="AC56" s="150"/>
      <c r="AD56" s="150"/>
      <c r="AE56" s="150"/>
      <c r="AF56" s="150"/>
      <c r="AG56" s="150"/>
      <c r="AH56" s="150"/>
      <c r="AI56" s="7"/>
      <c r="AJ56" s="7"/>
    </row>
    <row r="57" spans="1:56" ht="20.25" customHeight="1" x14ac:dyDescent="0.25">
      <c r="A57" s="2"/>
      <c r="B57" s="149" t="s">
        <v>382</v>
      </c>
      <c r="C57" s="149"/>
      <c r="D57" s="149"/>
      <c r="E57" s="40"/>
      <c r="F57" s="40"/>
      <c r="G57" s="40"/>
      <c r="H57" s="2"/>
      <c r="I57" s="2"/>
      <c r="J57" s="2"/>
      <c r="K57" s="2"/>
      <c r="L57" s="2"/>
      <c r="M57" s="2"/>
      <c r="N57" s="5"/>
      <c r="O57" s="2"/>
      <c r="P57" s="2"/>
      <c r="Q57" s="2"/>
      <c r="R57" s="2"/>
      <c r="S57" s="2"/>
      <c r="T57" s="2"/>
      <c r="U57" s="6"/>
      <c r="V57" s="2"/>
      <c r="W57" s="2"/>
      <c r="X57" s="2"/>
      <c r="Y57" s="2"/>
      <c r="Z57" s="149" t="s">
        <v>423</v>
      </c>
      <c r="AA57" s="149"/>
      <c r="AB57" s="149"/>
      <c r="AC57" s="149"/>
      <c r="AD57" s="149"/>
      <c r="AE57" s="149"/>
      <c r="AF57" s="149"/>
      <c r="AG57" s="149"/>
      <c r="AH57" s="149"/>
      <c r="AI57" s="7"/>
      <c r="AJ57" s="7"/>
    </row>
    <row r="58" spans="1:56" ht="15" customHeight="1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5"/>
      <c r="O58" s="2"/>
      <c r="P58" s="2"/>
      <c r="Q58" s="2"/>
      <c r="R58" s="2"/>
      <c r="S58" s="2"/>
      <c r="T58" s="2"/>
      <c r="U58" s="6"/>
      <c r="V58" s="2"/>
      <c r="W58" s="2"/>
      <c r="X58" s="2"/>
      <c r="Y58" s="2"/>
      <c r="Z58" s="173"/>
      <c r="AA58" s="173"/>
      <c r="AB58" s="173"/>
      <c r="AC58" s="173"/>
      <c r="AD58" s="173"/>
      <c r="AE58" s="173"/>
      <c r="AF58" s="173"/>
      <c r="AG58" s="173"/>
      <c r="AH58" s="173"/>
      <c r="AI58" s="7"/>
      <c r="AJ58" s="7"/>
    </row>
    <row r="59" spans="1:56" ht="15" customHeight="1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5"/>
      <c r="O59" s="2"/>
      <c r="P59" s="2"/>
      <c r="Q59" s="2"/>
      <c r="R59" s="2"/>
      <c r="S59" s="2"/>
      <c r="T59" s="2"/>
      <c r="U59" s="6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7"/>
      <c r="AJ59" s="7"/>
    </row>
    <row r="60" spans="1:56" ht="15" customHeight="1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5"/>
      <c r="O60" s="2"/>
      <c r="P60" s="2"/>
      <c r="Q60" s="2"/>
      <c r="R60" s="2"/>
      <c r="S60" s="2"/>
      <c r="T60" s="2"/>
      <c r="U60" s="6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7"/>
      <c r="AJ60" s="7"/>
    </row>
    <row r="61" spans="1:56" ht="15" customHeight="1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5"/>
      <c r="O61" s="2"/>
      <c r="P61" s="2"/>
      <c r="Q61" s="2"/>
      <c r="R61" s="2"/>
      <c r="S61" s="2"/>
      <c r="T61" s="2"/>
      <c r="U61" s="6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7"/>
      <c r="AJ61" s="7"/>
    </row>
    <row r="62" spans="1:56" ht="15" customHeight="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5"/>
      <c r="O62" s="2"/>
      <c r="P62" s="2"/>
      <c r="Q62" s="2"/>
      <c r="R62" s="2"/>
      <c r="S62" s="2"/>
      <c r="U62" s="6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7"/>
      <c r="AJ62" s="7"/>
    </row>
    <row r="63" spans="1:56" ht="15" customHeight="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5"/>
      <c r="O63" s="2"/>
      <c r="P63" s="2"/>
      <c r="Q63" s="2"/>
      <c r="R63" s="2"/>
      <c r="S63" s="2"/>
      <c r="U63" s="6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56" ht="15" customHeight="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5"/>
      <c r="O64" s="2"/>
      <c r="P64" s="2"/>
      <c r="Q64" s="2"/>
      <c r="R64" s="2"/>
      <c r="S64" s="2"/>
    </row>
    <row r="65" spans="1:19" ht="15" customHeight="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5"/>
      <c r="O65" s="2"/>
      <c r="P65" s="2"/>
      <c r="Q65" s="2"/>
      <c r="R65" s="2"/>
      <c r="S65" s="2"/>
    </row>
    <row r="66" spans="1:19" ht="15" customHeight="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5"/>
      <c r="O66" s="2"/>
      <c r="P66" s="2"/>
      <c r="Q66" s="2"/>
      <c r="R66" s="2"/>
      <c r="S66" s="2"/>
    </row>
    <row r="67" spans="1:19" ht="15" customHeight="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5"/>
      <c r="O67" s="2"/>
      <c r="P67" s="2"/>
      <c r="Q67" s="2"/>
      <c r="R67" s="2"/>
      <c r="S67" s="2"/>
    </row>
    <row r="68" spans="1:19" ht="15" customHeight="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5"/>
      <c r="O68" s="2"/>
      <c r="P68" s="2"/>
      <c r="Q68" s="2"/>
      <c r="R68" s="2"/>
      <c r="S68" s="2"/>
    </row>
    <row r="69" spans="1:19" ht="15" customHeight="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5"/>
      <c r="O69" s="2"/>
      <c r="P69" s="2"/>
      <c r="Q69" s="2"/>
      <c r="R69" s="2"/>
      <c r="S69" s="2"/>
    </row>
    <row r="70" spans="1:19" ht="15" customHeight="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5"/>
      <c r="O70" s="2"/>
      <c r="P70" s="2"/>
      <c r="Q70" s="2"/>
      <c r="R70" s="2"/>
      <c r="S70" s="2"/>
    </row>
    <row r="71" spans="1:19" ht="15" customHeight="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5"/>
      <c r="O71" s="2"/>
      <c r="P71" s="2"/>
      <c r="Q71" s="2"/>
      <c r="R71" s="2"/>
      <c r="S71" s="2"/>
    </row>
    <row r="72" spans="1:19" ht="15" customHeight="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5"/>
      <c r="O72" s="2"/>
      <c r="P72" s="2"/>
      <c r="Q72" s="2"/>
      <c r="R72" s="2"/>
      <c r="S72" s="2"/>
    </row>
    <row r="73" spans="1:19" ht="15" customHeight="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5"/>
      <c r="O73" s="2"/>
      <c r="P73" s="2"/>
      <c r="Q73" s="2"/>
      <c r="R73" s="2"/>
      <c r="S73" s="2"/>
    </row>
    <row r="74" spans="1:19" ht="15" customHeight="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5"/>
      <c r="O74" s="2"/>
      <c r="P74" s="2"/>
      <c r="Q74" s="2"/>
      <c r="R74" s="2"/>
      <c r="S74" s="2"/>
    </row>
    <row r="75" spans="1:19" ht="15" customHeight="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5"/>
      <c r="O75" s="2"/>
      <c r="P75" s="2"/>
      <c r="Q75" s="2"/>
      <c r="R75" s="2"/>
      <c r="S75" s="2"/>
    </row>
    <row r="76" spans="1:19" ht="15" customHeight="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5"/>
      <c r="O76" s="2"/>
      <c r="P76" s="2"/>
      <c r="Q76" s="2"/>
      <c r="R76" s="2"/>
      <c r="S76" s="2"/>
    </row>
    <row r="77" spans="1:19" ht="15" customHeight="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5"/>
      <c r="O77" s="2"/>
      <c r="P77" s="2"/>
      <c r="Q77" s="2"/>
      <c r="R77" s="2"/>
      <c r="S77" s="2"/>
    </row>
    <row r="78" spans="1:19" ht="15" customHeight="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5"/>
      <c r="O78" s="2"/>
      <c r="P78" s="2"/>
      <c r="Q78" s="2"/>
      <c r="R78" s="2"/>
      <c r="S78" s="2"/>
    </row>
    <row r="79" spans="1:19" ht="15" customHeight="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5"/>
      <c r="O79" s="2"/>
      <c r="P79" s="2"/>
      <c r="Q79" s="2"/>
      <c r="R79" s="2"/>
      <c r="S79" s="2"/>
    </row>
    <row r="80" spans="1:19" ht="15" customHeight="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5"/>
      <c r="O80" s="2"/>
      <c r="P80" s="2"/>
      <c r="Q80" s="2"/>
      <c r="R80" s="2"/>
      <c r="S80" s="2"/>
    </row>
    <row r="81" spans="1:19" ht="15" customHeight="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5"/>
      <c r="O81" s="2"/>
      <c r="P81" s="2"/>
      <c r="Q81" s="2"/>
      <c r="R81" s="2"/>
      <c r="S81" s="2"/>
    </row>
    <row r="82" spans="1:19" ht="15" customHeight="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5"/>
      <c r="O82" s="2"/>
      <c r="P82" s="2"/>
      <c r="Q82" s="2"/>
      <c r="R82" s="2"/>
      <c r="S82" s="2"/>
    </row>
    <row r="83" spans="1:19" ht="15" customHeight="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5"/>
      <c r="O83" s="2"/>
      <c r="P83" s="2"/>
      <c r="Q83" s="2"/>
      <c r="R83" s="2"/>
      <c r="S83" s="2"/>
    </row>
    <row r="84" spans="1:19" ht="15" customHeight="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5"/>
      <c r="O84" s="2"/>
      <c r="P84" s="2"/>
      <c r="Q84" s="2"/>
      <c r="R84" s="2"/>
      <c r="S84" s="2"/>
    </row>
    <row r="85" spans="1:19" ht="15" customHeight="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5"/>
      <c r="O85" s="2"/>
      <c r="P85" s="2"/>
      <c r="Q85" s="2"/>
      <c r="R85" s="2"/>
      <c r="S85" s="2"/>
    </row>
    <row r="86" spans="1:19" ht="15" customHeight="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5"/>
      <c r="O86" s="2"/>
      <c r="P86" s="2"/>
      <c r="Q86" s="2"/>
      <c r="R86" s="2"/>
      <c r="S86" s="2"/>
    </row>
    <row r="87" spans="1:19" ht="15" customHeight="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5"/>
      <c r="O87" s="2"/>
      <c r="P87" s="2"/>
      <c r="Q87" s="2"/>
      <c r="R87" s="2"/>
      <c r="S87" s="2"/>
    </row>
    <row r="88" spans="1:19" ht="15" customHeight="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5"/>
      <c r="O88" s="2"/>
      <c r="P88" s="2"/>
      <c r="Q88" s="2"/>
      <c r="R88" s="2"/>
      <c r="S88" s="2"/>
    </row>
    <row r="89" spans="1:19" ht="15" customHeight="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5"/>
      <c r="O89" s="2"/>
      <c r="P89" s="2"/>
      <c r="Q89" s="2"/>
      <c r="R89" s="2"/>
      <c r="S89" s="2"/>
    </row>
    <row r="90" spans="1:19" ht="15" customHeight="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5"/>
      <c r="O90" s="2"/>
      <c r="P90" s="2"/>
      <c r="Q90" s="2"/>
      <c r="R90" s="2"/>
      <c r="S90" s="2"/>
    </row>
    <row r="91" spans="1:19" ht="15" customHeight="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5"/>
      <c r="O91" s="2"/>
      <c r="P91" s="2"/>
      <c r="Q91" s="2"/>
      <c r="R91" s="2"/>
      <c r="S91" s="2"/>
    </row>
    <row r="92" spans="1:19" ht="15" customHeight="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5"/>
      <c r="O92" s="2"/>
      <c r="P92" s="2"/>
      <c r="Q92" s="2"/>
      <c r="R92" s="2"/>
      <c r="S92" s="2"/>
    </row>
    <row r="93" spans="1:19" ht="15" customHeight="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5"/>
      <c r="O93" s="2"/>
      <c r="P93" s="2"/>
      <c r="Q93" s="2"/>
      <c r="R93" s="2"/>
      <c r="S93" s="2"/>
    </row>
    <row r="94" spans="1:19" ht="15" customHeight="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5"/>
      <c r="O94" s="2"/>
      <c r="P94" s="2"/>
      <c r="Q94" s="2"/>
      <c r="R94" s="2"/>
      <c r="S94" s="2"/>
    </row>
    <row r="95" spans="1:19" ht="15" customHeight="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5"/>
      <c r="O95" s="2"/>
      <c r="P95" s="2"/>
      <c r="Q95" s="2"/>
      <c r="R95" s="2"/>
      <c r="S95" s="2"/>
    </row>
    <row r="96" spans="1:19" ht="15" customHeight="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5"/>
      <c r="O96" s="2"/>
      <c r="P96" s="2"/>
      <c r="Q96" s="2"/>
      <c r="R96" s="2"/>
      <c r="S96" s="2"/>
    </row>
    <row r="97" spans="1:19" ht="15" customHeight="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5"/>
      <c r="O97" s="2"/>
      <c r="P97" s="2"/>
      <c r="Q97" s="2"/>
      <c r="R97" s="2"/>
      <c r="S97" s="2"/>
    </row>
    <row r="98" spans="1:19" ht="15" customHeight="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5"/>
      <c r="O98" s="2"/>
      <c r="P98" s="2"/>
      <c r="Q98" s="2"/>
      <c r="R98" s="2"/>
      <c r="S98" s="2"/>
    </row>
    <row r="99" spans="1:19" ht="15" customHeight="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5"/>
      <c r="O99" s="2"/>
      <c r="P99" s="2"/>
      <c r="Q99" s="2"/>
      <c r="R99" s="2"/>
      <c r="S99" s="2"/>
    </row>
    <row r="100" spans="1:19" ht="15" customHeight="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5"/>
      <c r="O100" s="2"/>
      <c r="P100" s="2"/>
      <c r="Q100" s="2"/>
      <c r="R100" s="2"/>
      <c r="S100" s="2"/>
    </row>
    <row r="101" spans="1:19" ht="15" customHeight="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5"/>
      <c r="O101" s="2"/>
      <c r="P101" s="2"/>
      <c r="Q101" s="2"/>
      <c r="R101" s="2"/>
      <c r="S101" s="2"/>
    </row>
    <row r="102" spans="1:19" ht="15" customHeight="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5"/>
      <c r="O102" s="2"/>
      <c r="P102" s="2"/>
      <c r="Q102" s="2"/>
      <c r="R102" s="2"/>
      <c r="S102" s="2"/>
    </row>
    <row r="103" spans="1:19" ht="15" customHeight="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5"/>
      <c r="O103" s="2"/>
      <c r="P103" s="2"/>
      <c r="Q103" s="2"/>
      <c r="R103" s="2"/>
      <c r="S103" s="2"/>
    </row>
    <row r="104" spans="1:19" ht="15" customHeight="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5"/>
      <c r="O104" s="2"/>
      <c r="P104" s="2"/>
      <c r="Q104" s="2"/>
      <c r="R104" s="2"/>
      <c r="S104" s="2"/>
    </row>
    <row r="105" spans="1:19" ht="15" customHeight="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5"/>
      <c r="O105" s="2"/>
      <c r="P105" s="2"/>
      <c r="Q105" s="2"/>
      <c r="R105" s="2"/>
      <c r="S105" s="2"/>
    </row>
    <row r="106" spans="1:19" ht="15" customHeight="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5"/>
      <c r="O106" s="2"/>
      <c r="P106" s="2"/>
      <c r="Q106" s="2"/>
      <c r="R106" s="2"/>
      <c r="S106" s="2"/>
    </row>
    <row r="107" spans="1:19" ht="15" customHeight="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5"/>
      <c r="O107" s="2"/>
      <c r="P107" s="2"/>
      <c r="Q107" s="2"/>
      <c r="R107" s="2"/>
      <c r="S107" s="2"/>
    </row>
    <row r="108" spans="1:19" ht="15" customHeight="1" x14ac:dyDescent="0.25"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5"/>
      <c r="O108" s="2"/>
      <c r="P108" s="2"/>
      <c r="Q108" s="2"/>
      <c r="R108" s="2"/>
      <c r="S108" s="2"/>
    </row>
    <row r="109" spans="1:19" ht="15" customHeight="1" x14ac:dyDescent="0.25"/>
    <row r="110" spans="1:19" ht="15" customHeight="1" x14ac:dyDescent="0.25"/>
    <row r="111" spans="1:19" ht="15" customHeight="1" x14ac:dyDescent="0.25"/>
    <row r="112" spans="1:19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1" ht="15" customHeight="1" x14ac:dyDescent="0.25"/>
    <row r="342" ht="15" customHeight="1" x14ac:dyDescent="0.25"/>
    <row r="343" ht="15" customHeight="1" x14ac:dyDescent="0.25"/>
    <row r="344" ht="15" customHeight="1" x14ac:dyDescent="0.25"/>
    <row r="345" ht="15" customHeight="1" x14ac:dyDescent="0.25"/>
    <row r="346" ht="15" customHeight="1" x14ac:dyDescent="0.25"/>
    <row r="347" ht="15" customHeight="1" x14ac:dyDescent="0.25"/>
    <row r="348" ht="15" customHeight="1" x14ac:dyDescent="0.25"/>
    <row r="349" ht="15" customHeight="1" x14ac:dyDescent="0.25"/>
    <row r="350" ht="15" customHeight="1" x14ac:dyDescent="0.25"/>
    <row r="351" ht="15" customHeight="1" x14ac:dyDescent="0.25"/>
    <row r="352" ht="15" customHeight="1" x14ac:dyDescent="0.25"/>
    <row r="353" ht="15" customHeight="1" x14ac:dyDescent="0.25"/>
    <row r="354" ht="15" customHeight="1" x14ac:dyDescent="0.25"/>
    <row r="355" ht="15" customHeight="1" x14ac:dyDescent="0.25"/>
    <row r="356" ht="15" customHeight="1" x14ac:dyDescent="0.25"/>
    <row r="357" ht="15" customHeight="1" x14ac:dyDescent="0.25"/>
    <row r="358" ht="15" customHeight="1" x14ac:dyDescent="0.25"/>
    <row r="359" ht="15" customHeight="1" x14ac:dyDescent="0.25"/>
    <row r="360" ht="15" customHeight="1" x14ac:dyDescent="0.25"/>
    <row r="361" ht="15" customHeight="1" x14ac:dyDescent="0.25"/>
    <row r="362" ht="15" customHeight="1" x14ac:dyDescent="0.25"/>
    <row r="363" ht="1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" customHeight="1" x14ac:dyDescent="0.25"/>
    <row r="369" ht="15" customHeight="1" x14ac:dyDescent="0.25"/>
    <row r="370" ht="15" customHeight="1" x14ac:dyDescent="0.25"/>
    <row r="371" ht="15" customHeight="1" x14ac:dyDescent="0.25"/>
    <row r="372" ht="15" customHeight="1" x14ac:dyDescent="0.25"/>
    <row r="373" ht="15" customHeight="1" x14ac:dyDescent="0.25"/>
    <row r="374" ht="15" customHeight="1" x14ac:dyDescent="0.25"/>
    <row r="375" ht="15" customHeight="1" x14ac:dyDescent="0.25"/>
    <row r="376" ht="15" customHeight="1" x14ac:dyDescent="0.25"/>
    <row r="377" ht="15" customHeight="1" x14ac:dyDescent="0.25"/>
    <row r="378" ht="15" customHeight="1" x14ac:dyDescent="0.25"/>
    <row r="379" ht="15" customHeight="1" x14ac:dyDescent="0.25"/>
    <row r="380" ht="15" customHeight="1" x14ac:dyDescent="0.25"/>
    <row r="381" ht="15" customHeight="1" x14ac:dyDescent="0.25"/>
    <row r="382" ht="15" customHeight="1" x14ac:dyDescent="0.25"/>
    <row r="383" ht="15" customHeight="1" x14ac:dyDescent="0.25"/>
    <row r="384" ht="15" customHeight="1" x14ac:dyDescent="0.25"/>
    <row r="385" ht="15" customHeight="1" x14ac:dyDescent="0.25"/>
    <row r="386" ht="15" customHeight="1" x14ac:dyDescent="0.25"/>
    <row r="387" ht="15" customHeight="1" x14ac:dyDescent="0.25"/>
    <row r="388" ht="15" customHeight="1" x14ac:dyDescent="0.25"/>
    <row r="389" ht="15" customHeight="1" x14ac:dyDescent="0.25"/>
    <row r="390" ht="15" customHeight="1" x14ac:dyDescent="0.25"/>
    <row r="391" ht="15" customHeight="1" x14ac:dyDescent="0.25"/>
    <row r="392" ht="15" customHeight="1" x14ac:dyDescent="0.25"/>
    <row r="393" ht="15" customHeight="1" x14ac:dyDescent="0.25"/>
    <row r="394" ht="15" customHeight="1" x14ac:dyDescent="0.25"/>
    <row r="395" ht="15" customHeight="1" x14ac:dyDescent="0.25"/>
    <row r="396" ht="15" customHeight="1" x14ac:dyDescent="0.25"/>
    <row r="397" ht="15" customHeight="1" x14ac:dyDescent="0.25"/>
    <row r="398" ht="15" customHeight="1" x14ac:dyDescent="0.25"/>
    <row r="399" ht="15" customHeight="1" x14ac:dyDescent="0.25"/>
    <row r="400" ht="15" customHeight="1" x14ac:dyDescent="0.25"/>
    <row r="401" ht="15" customHeight="1" x14ac:dyDescent="0.25"/>
    <row r="402" ht="15" customHeight="1" x14ac:dyDescent="0.25"/>
    <row r="403" ht="15" customHeight="1" x14ac:dyDescent="0.25"/>
    <row r="404" ht="15" customHeight="1" x14ac:dyDescent="0.25"/>
    <row r="405" ht="15" customHeight="1" x14ac:dyDescent="0.25"/>
    <row r="406" ht="15" customHeight="1" x14ac:dyDescent="0.25"/>
    <row r="407" ht="15" customHeight="1" x14ac:dyDescent="0.25"/>
    <row r="408" ht="15" customHeight="1" x14ac:dyDescent="0.25"/>
    <row r="409" ht="15" customHeight="1" x14ac:dyDescent="0.25"/>
    <row r="410" ht="15" customHeight="1" x14ac:dyDescent="0.25"/>
    <row r="411" ht="15" customHeight="1" x14ac:dyDescent="0.25"/>
    <row r="412" ht="15" customHeight="1" x14ac:dyDescent="0.25"/>
    <row r="413" ht="15" customHeight="1" x14ac:dyDescent="0.25"/>
    <row r="414" ht="15" customHeight="1" x14ac:dyDescent="0.25"/>
    <row r="415" ht="15" customHeight="1" x14ac:dyDescent="0.25"/>
    <row r="416" ht="15" customHeight="1" x14ac:dyDescent="0.25"/>
    <row r="417" ht="15" customHeight="1" x14ac:dyDescent="0.25"/>
    <row r="418" ht="15" customHeight="1" x14ac:dyDescent="0.25"/>
    <row r="419" ht="15" customHeight="1" x14ac:dyDescent="0.25"/>
    <row r="420" ht="15" customHeight="1" x14ac:dyDescent="0.25"/>
    <row r="421" ht="15" customHeight="1" x14ac:dyDescent="0.25"/>
    <row r="422" ht="15" customHeight="1" x14ac:dyDescent="0.25"/>
    <row r="423" ht="15" customHeight="1" x14ac:dyDescent="0.25"/>
    <row r="424" ht="15" customHeight="1" x14ac:dyDescent="0.25"/>
    <row r="425" ht="15" customHeight="1" x14ac:dyDescent="0.25"/>
    <row r="426" ht="15" customHeight="1" x14ac:dyDescent="0.25"/>
    <row r="427" ht="15" customHeight="1" x14ac:dyDescent="0.25"/>
    <row r="428" ht="15" customHeight="1" x14ac:dyDescent="0.25"/>
    <row r="429" ht="15" customHeight="1" x14ac:dyDescent="0.25"/>
    <row r="430" ht="15" customHeight="1" x14ac:dyDescent="0.25"/>
    <row r="431" ht="15" customHeight="1" x14ac:dyDescent="0.25"/>
    <row r="432" ht="15" customHeight="1" x14ac:dyDescent="0.25"/>
    <row r="433" ht="15" customHeight="1" x14ac:dyDescent="0.25"/>
    <row r="434" ht="15" customHeight="1" x14ac:dyDescent="0.25"/>
    <row r="435" ht="15" customHeight="1" x14ac:dyDescent="0.25"/>
    <row r="436" ht="15" customHeight="1" x14ac:dyDescent="0.25"/>
    <row r="437" ht="15" customHeight="1" x14ac:dyDescent="0.25"/>
    <row r="438" ht="15" customHeight="1" x14ac:dyDescent="0.25"/>
    <row r="439" ht="15" customHeight="1" x14ac:dyDescent="0.25"/>
    <row r="440" ht="15" customHeight="1" x14ac:dyDescent="0.25"/>
    <row r="441" ht="15" customHeight="1" x14ac:dyDescent="0.25"/>
    <row r="442" ht="15" customHeight="1" x14ac:dyDescent="0.25"/>
    <row r="443" ht="15" customHeight="1" x14ac:dyDescent="0.25"/>
    <row r="444" ht="15" customHeight="1" x14ac:dyDescent="0.25"/>
    <row r="445" ht="15" customHeight="1" x14ac:dyDescent="0.25"/>
    <row r="446" ht="15" customHeight="1" x14ac:dyDescent="0.25"/>
    <row r="447" ht="15" customHeight="1" x14ac:dyDescent="0.25"/>
    <row r="448" ht="15" customHeight="1" x14ac:dyDescent="0.25"/>
    <row r="449" ht="15" customHeight="1" x14ac:dyDescent="0.25"/>
    <row r="450" ht="15" customHeight="1" x14ac:dyDescent="0.25"/>
    <row r="451" ht="15" customHeight="1" x14ac:dyDescent="0.25"/>
    <row r="452" ht="15" customHeight="1" x14ac:dyDescent="0.25"/>
    <row r="453" ht="15" customHeight="1" x14ac:dyDescent="0.25"/>
    <row r="454" ht="15" customHeight="1" x14ac:dyDescent="0.25"/>
    <row r="455" ht="15" customHeight="1" x14ac:dyDescent="0.25"/>
    <row r="456" ht="15" customHeight="1" x14ac:dyDescent="0.25"/>
    <row r="457" ht="15" customHeight="1" x14ac:dyDescent="0.25"/>
    <row r="458" ht="15" customHeight="1" x14ac:dyDescent="0.25"/>
    <row r="459" ht="15" customHeight="1" x14ac:dyDescent="0.25"/>
    <row r="460" ht="15" customHeight="1" x14ac:dyDescent="0.25"/>
    <row r="461" ht="15" customHeight="1" x14ac:dyDescent="0.25"/>
    <row r="462" ht="15" customHeight="1" x14ac:dyDescent="0.25"/>
    <row r="463" ht="15" customHeight="1" x14ac:dyDescent="0.25"/>
    <row r="464" ht="15" customHeight="1" x14ac:dyDescent="0.25"/>
    <row r="465" ht="15" customHeight="1" x14ac:dyDescent="0.25"/>
    <row r="466" ht="15" customHeight="1" x14ac:dyDescent="0.25"/>
    <row r="467" ht="15" customHeight="1" x14ac:dyDescent="0.25"/>
    <row r="468" ht="15" customHeight="1" x14ac:dyDescent="0.25"/>
    <row r="469" ht="15" customHeight="1" x14ac:dyDescent="0.25"/>
    <row r="470" ht="15" customHeight="1" x14ac:dyDescent="0.25"/>
    <row r="471" ht="15" customHeight="1" x14ac:dyDescent="0.25"/>
    <row r="472" ht="15" customHeight="1" x14ac:dyDescent="0.25"/>
    <row r="473" ht="15" customHeight="1" x14ac:dyDescent="0.25"/>
    <row r="474" ht="15" customHeight="1" x14ac:dyDescent="0.25"/>
    <row r="475" ht="15" customHeight="1" x14ac:dyDescent="0.25"/>
    <row r="476" ht="15" customHeight="1" x14ac:dyDescent="0.25"/>
    <row r="477" ht="15" customHeight="1" x14ac:dyDescent="0.25"/>
    <row r="478" ht="15" customHeight="1" x14ac:dyDescent="0.25"/>
    <row r="479" ht="15" customHeight="1" x14ac:dyDescent="0.25"/>
    <row r="480" ht="15" customHeight="1" x14ac:dyDescent="0.25"/>
    <row r="481" ht="15" customHeight="1" x14ac:dyDescent="0.25"/>
    <row r="482" ht="15" customHeight="1" x14ac:dyDescent="0.25"/>
    <row r="483" ht="15" customHeight="1" x14ac:dyDescent="0.25"/>
    <row r="484" ht="15" customHeight="1" x14ac:dyDescent="0.25"/>
    <row r="485" ht="15" customHeight="1" x14ac:dyDescent="0.25"/>
    <row r="486" ht="15" customHeight="1" x14ac:dyDescent="0.25"/>
    <row r="487" ht="15" customHeight="1" x14ac:dyDescent="0.25"/>
    <row r="488" ht="15" customHeight="1" x14ac:dyDescent="0.25"/>
    <row r="489" ht="15" customHeight="1" x14ac:dyDescent="0.25"/>
    <row r="490" ht="15" customHeight="1" x14ac:dyDescent="0.25"/>
    <row r="491" ht="15" customHeight="1" x14ac:dyDescent="0.25"/>
    <row r="492" ht="15" customHeight="1" x14ac:dyDescent="0.25"/>
    <row r="493" ht="15" customHeight="1" x14ac:dyDescent="0.25"/>
    <row r="494" ht="15" customHeight="1" x14ac:dyDescent="0.25"/>
    <row r="495" ht="15" customHeight="1" x14ac:dyDescent="0.25"/>
    <row r="496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  <row r="528" ht="15" customHeight="1" x14ac:dyDescent="0.25"/>
    <row r="529" ht="15" customHeight="1" x14ac:dyDescent="0.25"/>
    <row r="530" ht="15" customHeight="1" x14ac:dyDescent="0.25"/>
    <row r="531" ht="15" customHeight="1" x14ac:dyDescent="0.25"/>
    <row r="532" ht="15" customHeight="1" x14ac:dyDescent="0.25"/>
    <row r="533" ht="15" customHeight="1" x14ac:dyDescent="0.25"/>
    <row r="534" ht="15" customHeight="1" x14ac:dyDescent="0.25"/>
    <row r="535" ht="15" customHeight="1" x14ac:dyDescent="0.25"/>
    <row r="536" ht="15" customHeight="1" x14ac:dyDescent="0.25"/>
    <row r="537" ht="15" customHeight="1" x14ac:dyDescent="0.25"/>
    <row r="538" ht="15" customHeight="1" x14ac:dyDescent="0.25"/>
    <row r="539" ht="15" customHeight="1" x14ac:dyDescent="0.25"/>
    <row r="540" ht="15" customHeight="1" x14ac:dyDescent="0.25"/>
    <row r="541" ht="15" customHeight="1" x14ac:dyDescent="0.25"/>
    <row r="542" ht="15" customHeight="1" x14ac:dyDescent="0.25"/>
    <row r="543" ht="15" customHeight="1" x14ac:dyDescent="0.25"/>
    <row r="544" ht="15" customHeight="1" x14ac:dyDescent="0.25"/>
    <row r="545" ht="15" customHeight="1" x14ac:dyDescent="0.25"/>
    <row r="546" ht="15" customHeight="1" x14ac:dyDescent="0.25"/>
    <row r="547" ht="15" customHeight="1" x14ac:dyDescent="0.25"/>
    <row r="548" ht="15" customHeight="1" x14ac:dyDescent="0.25"/>
    <row r="549" ht="15" customHeight="1" x14ac:dyDescent="0.25"/>
    <row r="550" ht="15" customHeight="1" x14ac:dyDescent="0.25"/>
    <row r="551" ht="15" customHeight="1" x14ac:dyDescent="0.25"/>
    <row r="552" ht="15" customHeight="1" x14ac:dyDescent="0.25"/>
    <row r="553" ht="15" customHeight="1" x14ac:dyDescent="0.25"/>
    <row r="554" ht="15" customHeight="1" x14ac:dyDescent="0.25"/>
    <row r="555" ht="15" customHeight="1" x14ac:dyDescent="0.25"/>
    <row r="556" ht="15" customHeight="1" x14ac:dyDescent="0.25"/>
    <row r="557" ht="15" customHeight="1" x14ac:dyDescent="0.25"/>
    <row r="558" ht="15" customHeight="1" x14ac:dyDescent="0.25"/>
    <row r="559" ht="15" customHeight="1" x14ac:dyDescent="0.25"/>
    <row r="560" ht="15" customHeight="1" x14ac:dyDescent="0.25"/>
    <row r="561" ht="15" customHeight="1" x14ac:dyDescent="0.25"/>
    <row r="562" ht="15" customHeight="1" x14ac:dyDescent="0.25"/>
    <row r="563" ht="15" customHeight="1" x14ac:dyDescent="0.25"/>
    <row r="564" ht="15" customHeight="1" x14ac:dyDescent="0.25"/>
    <row r="565" ht="15" customHeight="1" x14ac:dyDescent="0.25"/>
    <row r="566" ht="15" customHeight="1" x14ac:dyDescent="0.25"/>
    <row r="567" ht="15" customHeight="1" x14ac:dyDescent="0.25"/>
    <row r="568" ht="15" customHeight="1" x14ac:dyDescent="0.25"/>
    <row r="569" ht="15" customHeight="1" x14ac:dyDescent="0.25"/>
    <row r="570" ht="15" customHeight="1" x14ac:dyDescent="0.25"/>
    <row r="571" ht="15" customHeight="1" x14ac:dyDescent="0.25"/>
    <row r="572" ht="15" customHeight="1" x14ac:dyDescent="0.25"/>
    <row r="573" ht="15" customHeight="1" x14ac:dyDescent="0.25"/>
    <row r="574" ht="15" customHeight="1" x14ac:dyDescent="0.25"/>
    <row r="575" ht="15" customHeight="1" x14ac:dyDescent="0.25"/>
    <row r="576" ht="15" customHeight="1" x14ac:dyDescent="0.25"/>
    <row r="577" ht="15" customHeight="1" x14ac:dyDescent="0.25"/>
    <row r="578" ht="15" customHeight="1" x14ac:dyDescent="0.25"/>
    <row r="579" ht="15" customHeight="1" x14ac:dyDescent="0.25"/>
    <row r="580" ht="15" customHeight="1" x14ac:dyDescent="0.25"/>
    <row r="581" ht="15" customHeight="1" x14ac:dyDescent="0.25"/>
    <row r="582" ht="15" customHeight="1" x14ac:dyDescent="0.25"/>
    <row r="583" ht="15" customHeight="1" x14ac:dyDescent="0.25"/>
    <row r="584" ht="15" customHeight="1" x14ac:dyDescent="0.25"/>
    <row r="585" ht="15" customHeight="1" x14ac:dyDescent="0.25"/>
    <row r="586" ht="15" customHeight="1" x14ac:dyDescent="0.25"/>
    <row r="587" ht="15" customHeight="1" x14ac:dyDescent="0.25"/>
    <row r="588" ht="15" customHeight="1" x14ac:dyDescent="0.25"/>
    <row r="589" ht="15" customHeight="1" x14ac:dyDescent="0.25"/>
    <row r="590" ht="15" customHeight="1" x14ac:dyDescent="0.25"/>
    <row r="591" ht="15" customHeight="1" x14ac:dyDescent="0.25"/>
    <row r="592" ht="15" customHeight="1" x14ac:dyDescent="0.25"/>
    <row r="593" ht="15" customHeight="1" x14ac:dyDescent="0.25"/>
    <row r="594" ht="15" customHeight="1" x14ac:dyDescent="0.25"/>
    <row r="595" ht="15" customHeight="1" x14ac:dyDescent="0.25"/>
    <row r="596" ht="15" customHeight="1" x14ac:dyDescent="0.25"/>
    <row r="597" ht="15" customHeight="1" x14ac:dyDescent="0.25"/>
    <row r="598" ht="15" customHeight="1" x14ac:dyDescent="0.25"/>
    <row r="599" ht="15" customHeight="1" x14ac:dyDescent="0.25"/>
    <row r="600" ht="15" customHeight="1" x14ac:dyDescent="0.25"/>
    <row r="601" ht="15" customHeight="1" x14ac:dyDescent="0.25"/>
    <row r="602" ht="15" customHeight="1" x14ac:dyDescent="0.25"/>
    <row r="603" ht="15" customHeight="1" x14ac:dyDescent="0.25"/>
    <row r="604" ht="15" customHeight="1" x14ac:dyDescent="0.25"/>
    <row r="605" ht="15" customHeight="1" x14ac:dyDescent="0.25"/>
    <row r="606" ht="15" customHeight="1" x14ac:dyDescent="0.25"/>
    <row r="607" ht="15" customHeight="1" x14ac:dyDescent="0.25"/>
    <row r="608" ht="15" customHeight="1" x14ac:dyDescent="0.25"/>
    <row r="609" ht="15" customHeight="1" x14ac:dyDescent="0.25"/>
    <row r="610" ht="15" customHeight="1" x14ac:dyDescent="0.25"/>
    <row r="611" ht="15" customHeight="1" x14ac:dyDescent="0.25"/>
    <row r="612" ht="15" customHeight="1" x14ac:dyDescent="0.25"/>
    <row r="613" ht="15" customHeight="1" x14ac:dyDescent="0.25"/>
    <row r="614" ht="15" customHeight="1" x14ac:dyDescent="0.25"/>
    <row r="615" ht="15" customHeight="1" x14ac:dyDescent="0.25"/>
    <row r="616" ht="15" customHeight="1" x14ac:dyDescent="0.25"/>
    <row r="617" ht="15" customHeight="1" x14ac:dyDescent="0.25"/>
    <row r="618" ht="15" customHeight="1" x14ac:dyDescent="0.25"/>
    <row r="619" ht="15" customHeight="1" x14ac:dyDescent="0.25"/>
    <row r="620" ht="15" customHeight="1" x14ac:dyDescent="0.25"/>
    <row r="621" ht="15" customHeight="1" x14ac:dyDescent="0.25"/>
    <row r="622" ht="15" customHeight="1" x14ac:dyDescent="0.25"/>
    <row r="623" ht="15" customHeight="1" x14ac:dyDescent="0.25"/>
    <row r="624" ht="15" customHeight="1" x14ac:dyDescent="0.25"/>
    <row r="625" ht="15" customHeight="1" x14ac:dyDescent="0.25"/>
    <row r="626" ht="15" customHeight="1" x14ac:dyDescent="0.25"/>
    <row r="627" ht="15" customHeight="1" x14ac:dyDescent="0.25"/>
    <row r="628" ht="15" customHeight="1" x14ac:dyDescent="0.25"/>
    <row r="629" ht="15" customHeight="1" x14ac:dyDescent="0.25"/>
    <row r="630" ht="15" customHeight="1" x14ac:dyDescent="0.25"/>
    <row r="631" ht="15" customHeight="1" x14ac:dyDescent="0.25"/>
    <row r="632" ht="15" customHeight="1" x14ac:dyDescent="0.25"/>
    <row r="633" ht="15" customHeight="1" x14ac:dyDescent="0.25"/>
    <row r="634" ht="15" customHeight="1" x14ac:dyDescent="0.25"/>
    <row r="635" ht="15" customHeight="1" x14ac:dyDescent="0.25"/>
    <row r="636" ht="15" customHeight="1" x14ac:dyDescent="0.25"/>
    <row r="637" ht="15" customHeight="1" x14ac:dyDescent="0.25"/>
    <row r="638" ht="15" customHeight="1" x14ac:dyDescent="0.25"/>
    <row r="639" ht="15" customHeight="1" x14ac:dyDescent="0.25"/>
    <row r="640" ht="15" customHeight="1" x14ac:dyDescent="0.25"/>
    <row r="641" ht="15" customHeight="1" x14ac:dyDescent="0.25"/>
    <row r="642" ht="15" customHeight="1" x14ac:dyDescent="0.25"/>
    <row r="643" ht="15" customHeight="1" x14ac:dyDescent="0.25"/>
    <row r="644" ht="15" customHeight="1" x14ac:dyDescent="0.25"/>
    <row r="645" ht="15" customHeight="1" x14ac:dyDescent="0.25"/>
    <row r="646" ht="15" customHeight="1" x14ac:dyDescent="0.25"/>
    <row r="647" ht="15" customHeight="1" x14ac:dyDescent="0.25"/>
    <row r="648" ht="15" customHeight="1" x14ac:dyDescent="0.25"/>
    <row r="649" ht="15" customHeight="1" x14ac:dyDescent="0.25"/>
    <row r="650" ht="15" customHeight="1" x14ac:dyDescent="0.25"/>
    <row r="651" ht="15" customHeight="1" x14ac:dyDescent="0.25"/>
    <row r="652" ht="15" customHeight="1" x14ac:dyDescent="0.25"/>
    <row r="653" ht="15" customHeight="1" x14ac:dyDescent="0.25"/>
    <row r="654" ht="15" customHeight="1" x14ac:dyDescent="0.25"/>
    <row r="655" ht="15" customHeight="1" x14ac:dyDescent="0.25"/>
    <row r="656" ht="15" customHeight="1" x14ac:dyDescent="0.25"/>
    <row r="657" ht="15" customHeight="1" x14ac:dyDescent="0.25"/>
    <row r="658" ht="15" customHeight="1" x14ac:dyDescent="0.25"/>
    <row r="659" ht="15" customHeight="1" x14ac:dyDescent="0.25"/>
    <row r="660" ht="15" customHeight="1" x14ac:dyDescent="0.25"/>
    <row r="661" ht="15" customHeight="1" x14ac:dyDescent="0.25"/>
    <row r="662" ht="15" customHeight="1" x14ac:dyDescent="0.25"/>
    <row r="663" ht="15" customHeight="1" x14ac:dyDescent="0.25"/>
    <row r="664" ht="15" customHeight="1" x14ac:dyDescent="0.25"/>
    <row r="665" ht="15" customHeight="1" x14ac:dyDescent="0.25"/>
    <row r="666" ht="15" customHeight="1" x14ac:dyDescent="0.25"/>
    <row r="667" ht="15" customHeight="1" x14ac:dyDescent="0.25"/>
    <row r="668" ht="15" customHeight="1" x14ac:dyDescent="0.25"/>
    <row r="669" ht="15" customHeight="1" x14ac:dyDescent="0.25"/>
    <row r="670" ht="15" customHeight="1" x14ac:dyDescent="0.25"/>
    <row r="671" ht="15" customHeight="1" x14ac:dyDescent="0.25"/>
    <row r="672" ht="15" customHeight="1" x14ac:dyDescent="0.25"/>
    <row r="673" ht="15" customHeight="1" x14ac:dyDescent="0.25"/>
    <row r="674" ht="15" customHeight="1" x14ac:dyDescent="0.25"/>
    <row r="675" ht="15" customHeight="1" x14ac:dyDescent="0.25"/>
    <row r="676" ht="15" customHeight="1" x14ac:dyDescent="0.25"/>
    <row r="677" ht="15" customHeight="1" x14ac:dyDescent="0.25"/>
    <row r="678" ht="15" customHeight="1" x14ac:dyDescent="0.25"/>
    <row r="679" ht="15" customHeight="1" x14ac:dyDescent="0.25"/>
    <row r="680" ht="15" customHeight="1" x14ac:dyDescent="0.25"/>
    <row r="681" ht="15" customHeight="1" x14ac:dyDescent="0.25"/>
    <row r="682" ht="15" customHeight="1" x14ac:dyDescent="0.25"/>
    <row r="683" ht="15" customHeight="1" x14ac:dyDescent="0.25"/>
    <row r="684" ht="15" customHeight="1" x14ac:dyDescent="0.25"/>
    <row r="685" ht="15" customHeight="1" x14ac:dyDescent="0.25"/>
    <row r="686" ht="15" customHeight="1" x14ac:dyDescent="0.25"/>
    <row r="687" ht="15" customHeight="1" x14ac:dyDescent="0.25"/>
    <row r="688" ht="15" customHeight="1" x14ac:dyDescent="0.25"/>
    <row r="689" ht="15" customHeight="1" x14ac:dyDescent="0.25"/>
    <row r="690" ht="15" customHeight="1" x14ac:dyDescent="0.25"/>
    <row r="691" ht="15" customHeight="1" x14ac:dyDescent="0.25"/>
    <row r="692" ht="15" customHeight="1" x14ac:dyDescent="0.25"/>
    <row r="693" ht="15" customHeight="1" x14ac:dyDescent="0.25"/>
    <row r="694" ht="15" customHeight="1" x14ac:dyDescent="0.25"/>
    <row r="695" ht="15" customHeight="1" x14ac:dyDescent="0.25"/>
    <row r="696" ht="15" customHeight="1" x14ac:dyDescent="0.25"/>
    <row r="697" ht="15" customHeight="1" x14ac:dyDescent="0.25"/>
    <row r="698" ht="15" customHeight="1" x14ac:dyDescent="0.25"/>
    <row r="699" ht="15" customHeight="1" x14ac:dyDescent="0.25"/>
    <row r="700" ht="15" customHeight="1" x14ac:dyDescent="0.25"/>
    <row r="701" ht="15" customHeight="1" x14ac:dyDescent="0.25"/>
    <row r="702" ht="15" customHeight="1" x14ac:dyDescent="0.25"/>
    <row r="703" ht="15" customHeight="1" x14ac:dyDescent="0.25"/>
    <row r="704" ht="15" customHeight="1" x14ac:dyDescent="0.25"/>
    <row r="705" ht="15" customHeight="1" x14ac:dyDescent="0.25"/>
    <row r="706" ht="15" customHeight="1" x14ac:dyDescent="0.25"/>
    <row r="707" ht="15" customHeight="1" x14ac:dyDescent="0.25"/>
    <row r="708" ht="15" customHeight="1" x14ac:dyDescent="0.25"/>
    <row r="709" ht="15" customHeight="1" x14ac:dyDescent="0.25"/>
    <row r="710" ht="15" customHeight="1" x14ac:dyDescent="0.25"/>
    <row r="711" ht="15" customHeight="1" x14ac:dyDescent="0.25"/>
    <row r="712" ht="15" customHeight="1" x14ac:dyDescent="0.25"/>
    <row r="713" ht="15" customHeight="1" x14ac:dyDescent="0.25"/>
    <row r="714" ht="15" customHeight="1" x14ac:dyDescent="0.25"/>
    <row r="715" ht="15" customHeight="1" x14ac:dyDescent="0.25"/>
    <row r="716" ht="15" customHeight="1" x14ac:dyDescent="0.25"/>
    <row r="717" ht="15" customHeight="1" x14ac:dyDescent="0.25"/>
    <row r="718" ht="15" customHeight="1" x14ac:dyDescent="0.25"/>
    <row r="719" ht="15" customHeight="1" x14ac:dyDescent="0.25"/>
    <row r="720" ht="15" customHeight="1" x14ac:dyDescent="0.25"/>
    <row r="721" ht="15" customHeight="1" x14ac:dyDescent="0.25"/>
    <row r="722" ht="15" customHeight="1" x14ac:dyDescent="0.25"/>
    <row r="723" ht="15" customHeight="1" x14ac:dyDescent="0.25"/>
    <row r="724" ht="15" customHeight="1" x14ac:dyDescent="0.25"/>
    <row r="725" ht="15" customHeight="1" x14ac:dyDescent="0.25"/>
    <row r="726" ht="15" customHeight="1" x14ac:dyDescent="0.25"/>
    <row r="727" ht="15" customHeight="1" x14ac:dyDescent="0.25"/>
    <row r="728" ht="15" customHeight="1" x14ac:dyDescent="0.25"/>
    <row r="729" ht="15" customHeight="1" x14ac:dyDescent="0.25"/>
    <row r="730" ht="15" customHeight="1" x14ac:dyDescent="0.25"/>
    <row r="731" ht="15" customHeight="1" x14ac:dyDescent="0.25"/>
    <row r="732" ht="15" customHeight="1" x14ac:dyDescent="0.25"/>
    <row r="733" ht="15" customHeight="1" x14ac:dyDescent="0.25"/>
    <row r="734" ht="15" customHeight="1" x14ac:dyDescent="0.25"/>
    <row r="735" ht="15" customHeight="1" x14ac:dyDescent="0.25"/>
    <row r="736" ht="15" customHeight="1" x14ac:dyDescent="0.25"/>
    <row r="737" ht="15" customHeight="1" x14ac:dyDescent="0.25"/>
    <row r="738" ht="15" customHeight="1" x14ac:dyDescent="0.25"/>
    <row r="739" ht="15" customHeight="1" x14ac:dyDescent="0.25"/>
    <row r="740" ht="15" customHeight="1" x14ac:dyDescent="0.25"/>
    <row r="741" ht="15" customHeight="1" x14ac:dyDescent="0.25"/>
    <row r="742" ht="15" customHeight="1" x14ac:dyDescent="0.25"/>
    <row r="743" ht="15" customHeight="1" x14ac:dyDescent="0.25"/>
    <row r="744" ht="15" customHeight="1" x14ac:dyDescent="0.25"/>
    <row r="745" ht="15" customHeight="1" x14ac:dyDescent="0.25"/>
    <row r="746" ht="15" customHeight="1" x14ac:dyDescent="0.25"/>
    <row r="747" ht="15" customHeight="1" x14ac:dyDescent="0.25"/>
    <row r="748" ht="15" customHeight="1" x14ac:dyDescent="0.25"/>
    <row r="749" ht="15" customHeight="1" x14ac:dyDescent="0.25"/>
    <row r="750" ht="15" customHeight="1" x14ac:dyDescent="0.25"/>
    <row r="751" ht="15" customHeight="1" x14ac:dyDescent="0.25"/>
    <row r="752" ht="15" customHeight="1" x14ac:dyDescent="0.25"/>
    <row r="753" ht="15" customHeight="1" x14ac:dyDescent="0.25"/>
    <row r="754" ht="15" customHeight="1" x14ac:dyDescent="0.25"/>
    <row r="755" ht="15" customHeight="1" x14ac:dyDescent="0.25"/>
    <row r="756" ht="15" customHeight="1" x14ac:dyDescent="0.25"/>
    <row r="757" ht="15" customHeight="1" x14ac:dyDescent="0.25"/>
    <row r="758" ht="15" customHeight="1" x14ac:dyDescent="0.25"/>
    <row r="759" ht="15" customHeight="1" x14ac:dyDescent="0.25"/>
    <row r="760" ht="15" customHeight="1" x14ac:dyDescent="0.25"/>
    <row r="761" ht="15" customHeight="1" x14ac:dyDescent="0.25"/>
    <row r="762" ht="15" customHeight="1" x14ac:dyDescent="0.25"/>
    <row r="763" ht="15" customHeight="1" x14ac:dyDescent="0.25"/>
    <row r="764" ht="15" customHeight="1" x14ac:dyDescent="0.25"/>
    <row r="765" ht="15" customHeight="1" x14ac:dyDescent="0.25"/>
    <row r="766" ht="15" customHeight="1" x14ac:dyDescent="0.25"/>
    <row r="767" ht="15" customHeight="1" x14ac:dyDescent="0.25"/>
    <row r="768" ht="15" customHeight="1" x14ac:dyDescent="0.25"/>
    <row r="769" ht="15" customHeight="1" x14ac:dyDescent="0.25"/>
    <row r="770" ht="15" customHeight="1" x14ac:dyDescent="0.25"/>
  </sheetData>
  <mergeCells count="81">
    <mergeCell ref="Z58:AH58"/>
    <mergeCell ref="AB6:AD6"/>
    <mergeCell ref="AB7:AD7"/>
    <mergeCell ref="S12:X12"/>
    <mergeCell ref="M7:O7"/>
    <mergeCell ref="AF11:AH11"/>
    <mergeCell ref="AB9:AD9"/>
    <mergeCell ref="AB10:AD10"/>
    <mergeCell ref="AF6:AH6"/>
    <mergeCell ref="AF7:AH7"/>
    <mergeCell ref="AF8:AH8"/>
    <mergeCell ref="AF9:AH9"/>
    <mergeCell ref="AF10:AH10"/>
    <mergeCell ref="AB11:AD11"/>
    <mergeCell ref="AB8:AD8"/>
    <mergeCell ref="S8:X8"/>
    <mergeCell ref="C6:D6"/>
    <mergeCell ref="K8:L8"/>
    <mergeCell ref="Z7:AA7"/>
    <mergeCell ref="M11:O11"/>
    <mergeCell ref="M8:O8"/>
    <mergeCell ref="A11:D12"/>
    <mergeCell ref="K12:L12"/>
    <mergeCell ref="M9:O9"/>
    <mergeCell ref="M10:O10"/>
    <mergeCell ref="M12:O12"/>
    <mergeCell ref="S9:X9"/>
    <mergeCell ref="S10:X10"/>
    <mergeCell ref="S11:X11"/>
    <mergeCell ref="A14:A15"/>
    <mergeCell ref="C14:C15"/>
    <mergeCell ref="A8:B8"/>
    <mergeCell ref="A9:B9"/>
    <mergeCell ref="A10:B10"/>
    <mergeCell ref="A13:AH13"/>
    <mergeCell ref="Z8:AA8"/>
    <mergeCell ref="Z9:AA9"/>
    <mergeCell ref="Z10:AA10"/>
    <mergeCell ref="Z11:AA11"/>
    <mergeCell ref="C8:D8"/>
    <mergeCell ref="C9:D9"/>
    <mergeCell ref="E8:G8"/>
    <mergeCell ref="Z12:AH12"/>
    <mergeCell ref="C10:D10"/>
    <mergeCell ref="Y1:AH3"/>
    <mergeCell ref="Z6:AA6"/>
    <mergeCell ref="A6:B6"/>
    <mergeCell ref="A7:B7"/>
    <mergeCell ref="A1:H4"/>
    <mergeCell ref="I1:X1"/>
    <mergeCell ref="I2:X2"/>
    <mergeCell ref="I3:X3"/>
    <mergeCell ref="I4:X4"/>
    <mergeCell ref="M6:O6"/>
    <mergeCell ref="C7:D7"/>
    <mergeCell ref="E5:L5"/>
    <mergeCell ref="K6:L6"/>
    <mergeCell ref="K7:L7"/>
    <mergeCell ref="A5:D5"/>
    <mergeCell ref="Z5:AH5"/>
    <mergeCell ref="AE4:AH4"/>
    <mergeCell ref="E6:G6"/>
    <mergeCell ref="E7:G7"/>
    <mergeCell ref="Y4:AC4"/>
    <mergeCell ref="M5:Y5"/>
    <mergeCell ref="S6:X6"/>
    <mergeCell ref="S7:X7"/>
    <mergeCell ref="AJ14:AJ15"/>
    <mergeCell ref="E9:G9"/>
    <mergeCell ref="E10:G10"/>
    <mergeCell ref="E11:G11"/>
    <mergeCell ref="E12:G12"/>
    <mergeCell ref="K9:L9"/>
    <mergeCell ref="K10:L10"/>
    <mergeCell ref="K11:L11"/>
    <mergeCell ref="Z57:AH57"/>
    <mergeCell ref="Z56:AH56"/>
    <mergeCell ref="B57:D57"/>
    <mergeCell ref="B56:D56"/>
    <mergeCell ref="D14:D15"/>
    <mergeCell ref="B14:B15"/>
  </mergeCells>
  <conditionalFormatting sqref="AJ16:AJ49">
    <cfRule type="cellIs" dxfId="4" priority="1" operator="greaterThan">
      <formula>174</formula>
    </cfRule>
    <cfRule type="cellIs" dxfId="3" priority="2" operator="greaterThan">
      <formula>167</formula>
    </cfRule>
  </conditionalFormatting>
  <printOptions horizontalCentered="1" verticalCentered="1"/>
  <pageMargins left="0.23622047244094488" right="0.23622047244094488" top="0" bottom="0.74803149606299213" header="0.31496062992125984" footer="0.31496062992125984"/>
  <pageSetup paperSize="9" scale="42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4"/>
  <dimension ref="A1:AA36"/>
  <sheetViews>
    <sheetView workbookViewId="0">
      <selection activeCell="W1" sqref="W1"/>
    </sheetView>
  </sheetViews>
  <sheetFormatPr defaultRowHeight="12.75" x14ac:dyDescent="0.2"/>
  <cols>
    <col min="2" max="2" width="42.7109375" bestFit="1" customWidth="1"/>
    <col min="3" max="3" width="9.7109375" bestFit="1" customWidth="1"/>
    <col min="4" max="4" width="7.140625" bestFit="1" customWidth="1"/>
    <col min="5" max="5" width="8.140625" bestFit="1" customWidth="1"/>
    <col min="6" max="6" width="7.140625" bestFit="1" customWidth="1"/>
    <col min="7" max="7" width="6.140625" bestFit="1" customWidth="1"/>
    <col min="8" max="10" width="8.140625" bestFit="1" customWidth="1"/>
    <col min="11" max="12" width="7.140625" bestFit="1" customWidth="1"/>
    <col min="13" max="13" width="9.28515625" customWidth="1"/>
    <col min="14" max="14" width="3.85546875" customWidth="1"/>
    <col min="15" max="15" width="10.42578125" bestFit="1" customWidth="1"/>
    <col min="16" max="16" width="10.42578125" style="99" bestFit="1" customWidth="1"/>
    <col min="17" max="23" width="10.42578125" bestFit="1" customWidth="1"/>
    <col min="24" max="24" width="8.5703125" bestFit="1" customWidth="1"/>
  </cols>
  <sheetData>
    <row r="1" spans="1:27" s="96" customFormat="1" x14ac:dyDescent="0.2">
      <c r="D1" s="97" t="s">
        <v>400</v>
      </c>
      <c r="E1" s="98" t="s">
        <v>401</v>
      </c>
      <c r="F1" s="98" t="s">
        <v>428</v>
      </c>
      <c r="G1" s="98" t="s">
        <v>430</v>
      </c>
      <c r="H1" s="98" t="s">
        <v>431</v>
      </c>
      <c r="I1" s="98" t="s">
        <v>429</v>
      </c>
      <c r="J1" s="98" t="s">
        <v>438</v>
      </c>
      <c r="K1" s="98" t="s">
        <v>439</v>
      </c>
      <c r="L1" s="98" t="s">
        <v>440</v>
      </c>
      <c r="M1" s="174" t="s">
        <v>486</v>
      </c>
      <c r="O1" s="100" t="s">
        <v>432</v>
      </c>
      <c r="P1" s="101" t="s">
        <v>433</v>
      </c>
      <c r="Q1" s="101" t="s">
        <v>434</v>
      </c>
      <c r="R1" s="101" t="s">
        <v>435</v>
      </c>
      <c r="S1" s="101" t="s">
        <v>436</v>
      </c>
      <c r="T1" s="101" t="s">
        <v>437</v>
      </c>
      <c r="U1" s="101" t="s">
        <v>441</v>
      </c>
      <c r="V1" s="96" t="s">
        <v>442</v>
      </c>
      <c r="W1" s="101" t="s">
        <v>443</v>
      </c>
    </row>
    <row r="2" spans="1:27" s="96" customFormat="1" x14ac:dyDescent="0.2">
      <c r="D2" s="100" t="s">
        <v>432</v>
      </c>
      <c r="E2" s="101" t="s">
        <v>433</v>
      </c>
      <c r="F2" s="101" t="s">
        <v>434</v>
      </c>
      <c r="G2" s="101" t="s">
        <v>435</v>
      </c>
      <c r="H2" s="101" t="s">
        <v>436</v>
      </c>
      <c r="I2" s="101" t="s">
        <v>437</v>
      </c>
      <c r="J2" s="101" t="s">
        <v>441</v>
      </c>
      <c r="K2" s="96" t="s">
        <v>442</v>
      </c>
      <c r="L2" s="101" t="s">
        <v>443</v>
      </c>
      <c r="M2" s="175"/>
      <c r="O2" s="96" t="s">
        <v>447</v>
      </c>
      <c r="P2" s="96" t="s">
        <v>448</v>
      </c>
      <c r="Q2" s="96" t="s">
        <v>479</v>
      </c>
      <c r="R2" s="96" t="s">
        <v>480</v>
      </c>
      <c r="S2" s="96" t="s">
        <v>481</v>
      </c>
      <c r="T2" s="96" t="s">
        <v>482</v>
      </c>
      <c r="U2" s="96" t="s">
        <v>483</v>
      </c>
      <c r="V2" s="96" t="s">
        <v>484</v>
      </c>
      <c r="W2" s="96" t="s">
        <v>485</v>
      </c>
    </row>
    <row r="3" spans="1:27" x14ac:dyDescent="0.2">
      <c r="A3" s="75">
        <v>1</v>
      </c>
      <c r="B3" s="76" t="s">
        <v>403</v>
      </c>
      <c r="C3" s="77" t="s">
        <v>342</v>
      </c>
      <c r="D3" s="102">
        <f>COUNTIF(Escala1!E16:AH16,"HEA")</f>
        <v>0</v>
      </c>
      <c r="E3" s="102">
        <f>COUNTIF(Escala1!E16:AH16,"HEB")</f>
        <v>0</v>
      </c>
      <c r="F3" s="102">
        <f>COUNTIF(Escala1!E16:AH16,"HEC")</f>
        <v>0</v>
      </c>
      <c r="G3" s="102">
        <f>COUNTIF(Escala1!E16:AH16,"HE/A")</f>
        <v>0</v>
      </c>
      <c r="H3" s="102">
        <f>COUNTIF(Escala1!E16:AH16,"HE/B")</f>
        <v>0</v>
      </c>
      <c r="I3" s="102">
        <f>COUNTIF(Escala1!E16:AH16,"HE/C")</f>
        <v>0</v>
      </c>
      <c r="J3" s="102">
        <f>COUNTIF(Escala1!E16:AH16,"A/HE")</f>
        <v>0</v>
      </c>
      <c r="K3" s="102">
        <f>COUNTIF(Escala1!E16:AH16,"B/HE")</f>
        <v>0</v>
      </c>
      <c r="L3" s="102">
        <f>COUNTIF(Escala1!E16:AH16,"C/HE")</f>
        <v>0</v>
      </c>
      <c r="M3" s="103">
        <f>SUM(D3*8+E3*8+F3*8+G3*4+H3*4+I3*4+J3*4+K3*4+L3*4)</f>
        <v>0</v>
      </c>
      <c r="O3" s="99" t="str">
        <f>IF(D3=1,D$2,IF(D3=2,2&amp;"("&amp;D$2&amp;")",""))</f>
        <v/>
      </c>
      <c r="P3" s="99" t="str">
        <f t="shared" ref="P3:W3" si="0">IF(E3=1,E$2,IF(E3=2,2&amp;"("&amp;E$2&amp;")",""))</f>
        <v/>
      </c>
      <c r="Q3" s="99" t="str">
        <f t="shared" si="0"/>
        <v/>
      </c>
      <c r="R3" s="99" t="str">
        <f t="shared" si="0"/>
        <v/>
      </c>
      <c r="S3" s="99" t="str">
        <f t="shared" si="0"/>
        <v/>
      </c>
      <c r="T3" s="99" t="str">
        <f t="shared" si="0"/>
        <v/>
      </c>
      <c r="U3" s="99" t="str">
        <f t="shared" si="0"/>
        <v/>
      </c>
      <c r="V3" s="99" t="str">
        <f t="shared" si="0"/>
        <v/>
      </c>
      <c r="W3" s="99" t="str">
        <f t="shared" si="0"/>
        <v/>
      </c>
      <c r="X3" s="99"/>
      <c r="Y3" s="99"/>
      <c r="Z3" s="99"/>
      <c r="AA3" s="99"/>
    </row>
    <row r="4" spans="1:27" x14ac:dyDescent="0.2">
      <c r="A4" s="75">
        <v>2</v>
      </c>
      <c r="B4" s="76" t="s">
        <v>416</v>
      </c>
      <c r="C4" s="77" t="s">
        <v>343</v>
      </c>
      <c r="D4" s="102">
        <f>COUNTIF(Escala1!E17:AH17,"HEA")</f>
        <v>1</v>
      </c>
      <c r="E4" s="102">
        <f>COUNTIF(Escala1!E17:AH17,"HEB")</f>
        <v>0</v>
      </c>
      <c r="F4" s="102">
        <f>COUNTIF(Escala1!E17:AH17,"HEC")</f>
        <v>0</v>
      </c>
      <c r="G4" s="102">
        <f>COUNTIF(Escala1!E17:AH17,"HE/A")</f>
        <v>0</v>
      </c>
      <c r="H4" s="102">
        <f>COUNTIF(Escala1!E17:AH17,"HE/B")</f>
        <v>0</v>
      </c>
      <c r="I4" s="102">
        <f>COUNTIF(Escala1!E17:AH17,"HE/C")</f>
        <v>0</v>
      </c>
      <c r="J4" s="102">
        <f>COUNTIF(Escala1!E17:AH17,"A/HE")</f>
        <v>0</v>
      </c>
      <c r="K4" s="102">
        <f>COUNTIF(Escala1!E17:AH17,"B/HE")</f>
        <v>0</v>
      </c>
      <c r="L4" s="102">
        <f>COUNTIF(Escala1!E17:AH17,"C/HE")</f>
        <v>0</v>
      </c>
      <c r="M4" s="103">
        <f t="shared" ref="M4:M36" si="1">SUM(D4*8+E4*8+F4*8+G4*4+H4*4+I4*4+J4*4+K4*4+L4*4)</f>
        <v>8</v>
      </c>
      <c r="O4" s="99" t="str">
        <f t="shared" ref="O4:O36" si="2">IF(D4=1,D$2,IF(D4=2,2&amp;"("&amp;D$2&amp;")",""))</f>
        <v>7 as 15</v>
      </c>
      <c r="P4" s="99" t="str">
        <f t="shared" ref="P4:P36" si="3">IF(E4=1,E$2,IF(E4=2,2&amp;"("&amp;E$2&amp;")",""))</f>
        <v/>
      </c>
      <c r="Q4" s="99" t="str">
        <f t="shared" ref="Q4:Q36" si="4">IF(F4=1,F$2,IF(F4=2,2&amp;"("&amp;F$2&amp;")",""))</f>
        <v/>
      </c>
      <c r="R4" s="99" t="str">
        <f t="shared" ref="R4:R36" si="5">IF(G4=1,G$2,IF(G4=2,2&amp;"("&amp;G$2&amp;")",""))</f>
        <v/>
      </c>
      <c r="S4" s="99" t="str">
        <f t="shared" ref="S4:S36" si="6">IF(H4=1,H$2,IF(H4=2,2&amp;"("&amp;H$2&amp;")",""))</f>
        <v/>
      </c>
      <c r="T4" s="99" t="str">
        <f t="shared" ref="T4:T36" si="7">IF(I4=1,I$2,IF(I4=2,2&amp;"("&amp;I$2&amp;")",""))</f>
        <v/>
      </c>
      <c r="U4" s="99" t="str">
        <f t="shared" ref="U4:U36" si="8">IF(J4=1,J$2,IF(J4=2,2&amp;"("&amp;J$2&amp;")",""))</f>
        <v/>
      </c>
      <c r="V4" s="99" t="str">
        <f t="shared" ref="V4:V36" si="9">IF(K4=1,K$2,IF(K4=2,2&amp;"("&amp;K$2&amp;")",""))</f>
        <v/>
      </c>
      <c r="W4" s="99" t="str">
        <f t="shared" ref="W4:W36" si="10">IF(L4=1,L$2,IF(L4=2,2&amp;"("&amp;L$2&amp;")",""))</f>
        <v/>
      </c>
      <c r="X4" s="99"/>
      <c r="Y4" s="99"/>
      <c r="Z4" s="99"/>
      <c r="AA4" s="99"/>
    </row>
    <row r="5" spans="1:27" x14ac:dyDescent="0.2">
      <c r="A5" s="75">
        <v>3</v>
      </c>
      <c r="B5" s="76" t="s">
        <v>398</v>
      </c>
      <c r="C5" s="77" t="s">
        <v>344</v>
      </c>
      <c r="D5" s="102">
        <f>COUNTIF(Escala1!E18:AH18,"HEA")</f>
        <v>0</v>
      </c>
      <c r="E5" s="102">
        <f>COUNTIF(Escala1!E18:AH18,"HEB")</f>
        <v>0</v>
      </c>
      <c r="F5" s="102">
        <f>COUNTIF(Escala1!E18:AH18,"HEC")</f>
        <v>0</v>
      </c>
      <c r="G5" s="102">
        <f>COUNTIF(Escala1!E18:AH18,"HE/A")</f>
        <v>0</v>
      </c>
      <c r="H5" s="102">
        <f>COUNTIF(Escala1!E18:AH18,"HE/B")</f>
        <v>0</v>
      </c>
      <c r="I5" s="102">
        <f>COUNTIF(Escala1!E18:AH18,"HE/C")</f>
        <v>0</v>
      </c>
      <c r="J5" s="102">
        <f>COUNTIF(Escala1!E18:AH18,"A/HE")</f>
        <v>1</v>
      </c>
      <c r="K5" s="102">
        <f>COUNTIF(Escala1!E18:AH18,"B/HE")</f>
        <v>0</v>
      </c>
      <c r="L5" s="102">
        <f>COUNTIF(Escala1!E18:AH18,"C/HE")</f>
        <v>0</v>
      </c>
      <c r="M5" s="103">
        <f t="shared" si="1"/>
        <v>4</v>
      </c>
      <c r="O5" s="99" t="str">
        <f t="shared" si="2"/>
        <v/>
      </c>
      <c r="P5" s="99" t="str">
        <f t="shared" si="3"/>
        <v/>
      </c>
      <c r="Q5" s="99" t="str">
        <f t="shared" si="4"/>
        <v/>
      </c>
      <c r="R5" s="99" t="str">
        <f t="shared" si="5"/>
        <v/>
      </c>
      <c r="S5" s="99" t="str">
        <f t="shared" si="6"/>
        <v/>
      </c>
      <c r="T5" s="99" t="str">
        <f t="shared" si="7"/>
        <v/>
      </c>
      <c r="U5" s="99" t="str">
        <f t="shared" si="8"/>
        <v>15 as 19</v>
      </c>
      <c r="V5" s="99" t="str">
        <f t="shared" si="9"/>
        <v/>
      </c>
      <c r="W5" s="99" t="str">
        <f t="shared" si="10"/>
        <v/>
      </c>
      <c r="X5" s="99"/>
      <c r="Y5" s="99"/>
      <c r="Z5" s="99"/>
      <c r="AA5" s="99"/>
    </row>
    <row r="6" spans="1:27" x14ac:dyDescent="0.2">
      <c r="A6" s="75">
        <v>4</v>
      </c>
      <c r="B6" s="76" t="s">
        <v>404</v>
      </c>
      <c r="C6" s="77" t="s">
        <v>345</v>
      </c>
      <c r="D6" s="102">
        <f>COUNTIF(Escala1!E19:AH19,"HEA")</f>
        <v>0</v>
      </c>
      <c r="E6" s="102">
        <f>COUNTIF(Escala1!E19:AH19,"HEB")</f>
        <v>0</v>
      </c>
      <c r="F6" s="102">
        <f>COUNTIF(Escala1!E19:AH19,"HEC")</f>
        <v>0</v>
      </c>
      <c r="G6" s="102">
        <f>COUNTIF(Escala1!E19:AH19,"HE/A")</f>
        <v>0</v>
      </c>
      <c r="H6" s="102">
        <f>COUNTIF(Escala1!E19:AH19,"HE/B")</f>
        <v>0</v>
      </c>
      <c r="I6" s="102">
        <f>COUNTIF(Escala1!E19:AH19,"HE/C")</f>
        <v>0</v>
      </c>
      <c r="J6" s="102">
        <f>COUNTIF(Escala1!E19:AH19,"A/HE")</f>
        <v>0</v>
      </c>
      <c r="K6" s="102">
        <f>COUNTIF(Escala1!E19:AH19,"B/HE")</f>
        <v>0</v>
      </c>
      <c r="L6" s="102">
        <f>COUNTIF(Escala1!E19:AH19,"C/HE")</f>
        <v>0</v>
      </c>
      <c r="M6" s="103">
        <f t="shared" si="1"/>
        <v>0</v>
      </c>
      <c r="O6" s="99" t="str">
        <f t="shared" si="2"/>
        <v/>
      </c>
      <c r="P6" s="99" t="str">
        <f t="shared" si="3"/>
        <v/>
      </c>
      <c r="Q6" s="99" t="str">
        <f t="shared" si="4"/>
        <v/>
      </c>
      <c r="R6" s="99" t="str">
        <f t="shared" si="5"/>
        <v/>
      </c>
      <c r="S6" s="99" t="str">
        <f t="shared" si="6"/>
        <v/>
      </c>
      <c r="T6" s="99" t="str">
        <f t="shared" si="7"/>
        <v/>
      </c>
      <c r="U6" s="99" t="str">
        <f t="shared" si="8"/>
        <v/>
      </c>
      <c r="V6" s="99" t="str">
        <f t="shared" si="9"/>
        <v/>
      </c>
      <c r="W6" s="99" t="str">
        <f t="shared" si="10"/>
        <v/>
      </c>
      <c r="X6" s="99"/>
      <c r="Y6" s="99"/>
      <c r="Z6" s="99"/>
      <c r="AA6" s="99"/>
    </row>
    <row r="7" spans="1:27" x14ac:dyDescent="0.2">
      <c r="A7" s="75">
        <v>5</v>
      </c>
      <c r="B7" s="76" t="s">
        <v>399</v>
      </c>
      <c r="C7" s="77" t="s">
        <v>346</v>
      </c>
      <c r="D7" s="102">
        <f>COUNTIF(Escala1!E20:AH20,"HEA")</f>
        <v>1</v>
      </c>
      <c r="E7" s="102">
        <f>COUNTIF(Escala1!E20:AH20,"HEB")</f>
        <v>0</v>
      </c>
      <c r="F7" s="102">
        <f>COUNTIF(Escala1!E20:AH20,"HEC")</f>
        <v>0</v>
      </c>
      <c r="G7" s="102">
        <f>COUNTIF(Escala1!E20:AH20,"HE/A")</f>
        <v>0</v>
      </c>
      <c r="H7" s="102">
        <f>COUNTIF(Escala1!E20:AH20,"HE/B")</f>
        <v>0</v>
      </c>
      <c r="I7" s="102">
        <f>COUNTIF(Escala1!E20:AH20,"HE/C")</f>
        <v>1</v>
      </c>
      <c r="J7" s="102">
        <f>COUNTIF(Escala1!E20:AH20,"A/HE")</f>
        <v>0</v>
      </c>
      <c r="K7" s="102">
        <f>COUNTIF(Escala1!E20:AH20,"B/HE")</f>
        <v>0</v>
      </c>
      <c r="L7" s="102">
        <f>COUNTIF(Escala1!E20:AH20,"C/HE")</f>
        <v>0</v>
      </c>
      <c r="M7" s="103">
        <f t="shared" si="1"/>
        <v>12</v>
      </c>
      <c r="O7" s="99" t="str">
        <f t="shared" si="2"/>
        <v>7 as 15</v>
      </c>
      <c r="P7" s="99" t="str">
        <f t="shared" si="3"/>
        <v/>
      </c>
      <c r="Q7" s="99" t="str">
        <f t="shared" si="4"/>
        <v/>
      </c>
      <c r="R7" s="99" t="str">
        <f t="shared" si="5"/>
        <v/>
      </c>
      <c r="S7" s="99" t="str">
        <f t="shared" si="6"/>
        <v/>
      </c>
      <c r="T7" s="99" t="str">
        <f t="shared" si="7"/>
        <v>19 as 23</v>
      </c>
      <c r="U7" s="99" t="str">
        <f t="shared" si="8"/>
        <v/>
      </c>
      <c r="V7" s="99" t="str">
        <f t="shared" si="9"/>
        <v/>
      </c>
      <c r="W7" s="99" t="str">
        <f t="shared" si="10"/>
        <v/>
      </c>
      <c r="X7" s="99"/>
      <c r="Y7" s="99"/>
      <c r="Z7" s="99"/>
      <c r="AA7" s="99"/>
    </row>
    <row r="8" spans="1:27" x14ac:dyDescent="0.2">
      <c r="A8" s="75">
        <v>6</v>
      </c>
      <c r="B8" s="76" t="s">
        <v>347</v>
      </c>
      <c r="C8" s="77" t="s">
        <v>348</v>
      </c>
      <c r="D8" s="102">
        <f>COUNTIF(Escala1!E21:AH21,"HEA")</f>
        <v>0</v>
      </c>
      <c r="E8" s="102">
        <f>COUNTIF(Escala1!E21:AH21,"HEB")</f>
        <v>0</v>
      </c>
      <c r="F8" s="102">
        <f>COUNTIF(Escala1!E21:AH21,"HEC")</f>
        <v>0</v>
      </c>
      <c r="G8" s="102">
        <f>COUNTIF(Escala1!E21:AH21,"HE/A")</f>
        <v>0</v>
      </c>
      <c r="H8" s="102">
        <f>COUNTIF(Escala1!E21:AH21,"HE/B")</f>
        <v>0</v>
      </c>
      <c r="I8" s="102">
        <f>COUNTIF(Escala1!E21:AH21,"HE/C")</f>
        <v>0</v>
      </c>
      <c r="J8" s="102">
        <f>COUNTIF(Escala1!E21:AH21,"A/HE")</f>
        <v>0</v>
      </c>
      <c r="K8" s="102">
        <f>COUNTIF(Escala1!E21:AH21,"B/HE")</f>
        <v>0</v>
      </c>
      <c r="L8" s="102">
        <f>COUNTIF(Escala1!E21:AH21,"C/HE")</f>
        <v>0</v>
      </c>
      <c r="M8" s="103">
        <f t="shared" si="1"/>
        <v>0</v>
      </c>
      <c r="O8" s="99" t="str">
        <f t="shared" si="2"/>
        <v/>
      </c>
      <c r="P8" s="99" t="str">
        <f t="shared" si="3"/>
        <v/>
      </c>
      <c r="Q8" s="99" t="str">
        <f t="shared" si="4"/>
        <v/>
      </c>
      <c r="R8" s="99" t="str">
        <f t="shared" si="5"/>
        <v/>
      </c>
      <c r="S8" s="99" t="str">
        <f t="shared" si="6"/>
        <v/>
      </c>
      <c r="T8" s="99" t="str">
        <f t="shared" si="7"/>
        <v/>
      </c>
      <c r="U8" s="99" t="str">
        <f t="shared" si="8"/>
        <v/>
      </c>
      <c r="V8" s="99" t="str">
        <f t="shared" si="9"/>
        <v/>
      </c>
      <c r="W8" s="99" t="str">
        <f t="shared" si="10"/>
        <v/>
      </c>
      <c r="X8" s="99"/>
      <c r="Y8" s="99"/>
      <c r="Z8" s="99"/>
      <c r="AA8" s="99"/>
    </row>
    <row r="9" spans="1:27" x14ac:dyDescent="0.2">
      <c r="A9" s="78">
        <v>7</v>
      </c>
      <c r="B9" s="79" t="s">
        <v>417</v>
      </c>
      <c r="C9" s="80" t="s">
        <v>349</v>
      </c>
      <c r="D9" s="102">
        <f>COUNTIF(Escala1!E22:AH22,"HEA")</f>
        <v>0</v>
      </c>
      <c r="E9" s="102">
        <f>COUNTIF(Escala1!E22:AH22,"HEB")</f>
        <v>0</v>
      </c>
      <c r="F9" s="102">
        <f>COUNTIF(Escala1!E22:AH22,"HEC")</f>
        <v>0</v>
      </c>
      <c r="G9" s="102">
        <f>COUNTIF(Escala1!E22:AH22,"HE/A")</f>
        <v>0</v>
      </c>
      <c r="H9" s="102">
        <f>COUNTIF(Escala1!E22:AH22,"HE/B")</f>
        <v>0</v>
      </c>
      <c r="I9" s="102">
        <f>COUNTIF(Escala1!E22:AH22,"HE/C")</f>
        <v>0</v>
      </c>
      <c r="J9" s="102">
        <f>COUNTIF(Escala1!E22:AH22,"A/HE")</f>
        <v>0</v>
      </c>
      <c r="K9" s="102">
        <f>COUNTIF(Escala1!E22:AH22,"B/HE")</f>
        <v>0</v>
      </c>
      <c r="L9" s="102">
        <f>COUNTIF(Escala1!E22:AH22,"C/HE")</f>
        <v>0</v>
      </c>
      <c r="M9" s="103">
        <f t="shared" si="1"/>
        <v>0</v>
      </c>
      <c r="O9" s="99" t="str">
        <f t="shared" si="2"/>
        <v/>
      </c>
      <c r="P9" s="99" t="str">
        <f t="shared" si="3"/>
        <v/>
      </c>
      <c r="Q9" s="99" t="str">
        <f t="shared" si="4"/>
        <v/>
      </c>
      <c r="R9" s="99" t="str">
        <f t="shared" si="5"/>
        <v/>
      </c>
      <c r="S9" s="99" t="str">
        <f t="shared" si="6"/>
        <v/>
      </c>
      <c r="T9" s="99" t="str">
        <f t="shared" si="7"/>
        <v/>
      </c>
      <c r="U9" s="99" t="str">
        <f t="shared" si="8"/>
        <v/>
      </c>
      <c r="V9" s="99" t="str">
        <f t="shared" si="9"/>
        <v/>
      </c>
      <c r="W9" s="99" t="str">
        <f t="shared" si="10"/>
        <v/>
      </c>
      <c r="X9" s="99"/>
      <c r="Y9" s="99"/>
      <c r="Z9" s="99"/>
      <c r="AA9" s="99"/>
    </row>
    <row r="10" spans="1:27" x14ac:dyDescent="0.2">
      <c r="A10" s="78">
        <v>8</v>
      </c>
      <c r="B10" s="79" t="s">
        <v>408</v>
      </c>
      <c r="C10" s="80" t="s">
        <v>350</v>
      </c>
      <c r="D10" s="102">
        <f>COUNTIF(Escala1!E23:AH23,"HEA")</f>
        <v>0</v>
      </c>
      <c r="E10" s="102">
        <f>COUNTIF(Escala1!E23:AH23,"HEB")</f>
        <v>0</v>
      </c>
      <c r="F10" s="102">
        <f>COUNTIF(Escala1!E23:AH23,"HEC")</f>
        <v>1</v>
      </c>
      <c r="G10" s="102">
        <f>COUNTIF(Escala1!E23:AH23,"HE/A")</f>
        <v>0</v>
      </c>
      <c r="H10" s="102">
        <f>COUNTIF(Escala1!E23:AH23,"HE/B")</f>
        <v>1</v>
      </c>
      <c r="I10" s="102">
        <f>COUNTIF(Escala1!E23:AH23,"HE/C")</f>
        <v>0</v>
      </c>
      <c r="J10" s="102">
        <f>COUNTIF(Escala1!E23:AH23,"A/HE")</f>
        <v>0</v>
      </c>
      <c r="K10" s="102">
        <f>COUNTIF(Escala1!E23:AH23,"B/HE")</f>
        <v>0</v>
      </c>
      <c r="L10" s="102">
        <f>COUNTIF(Escala1!E23:AH23,"C/HE")</f>
        <v>0</v>
      </c>
      <c r="M10" s="103">
        <f t="shared" si="1"/>
        <v>12</v>
      </c>
      <c r="O10" s="99" t="str">
        <f t="shared" si="2"/>
        <v/>
      </c>
      <c r="P10" s="99" t="str">
        <f t="shared" si="3"/>
        <v/>
      </c>
      <c r="Q10" s="99" t="str">
        <f t="shared" si="4"/>
        <v>23 as 7</v>
      </c>
      <c r="R10" s="99" t="str">
        <f t="shared" si="5"/>
        <v/>
      </c>
      <c r="S10" s="99" t="str">
        <f t="shared" si="6"/>
        <v>11 as 15</v>
      </c>
      <c r="T10" s="99" t="str">
        <f t="shared" si="7"/>
        <v/>
      </c>
      <c r="U10" s="99" t="str">
        <f t="shared" si="8"/>
        <v/>
      </c>
      <c r="V10" s="99" t="str">
        <f t="shared" si="9"/>
        <v/>
      </c>
      <c r="W10" s="99" t="str">
        <f t="shared" si="10"/>
        <v/>
      </c>
      <c r="X10" s="99"/>
      <c r="Y10" s="99"/>
      <c r="Z10" s="99"/>
      <c r="AA10" s="99"/>
    </row>
    <row r="11" spans="1:27" x14ac:dyDescent="0.2">
      <c r="A11" s="78">
        <v>9</v>
      </c>
      <c r="B11" s="79" t="s">
        <v>405</v>
      </c>
      <c r="C11" s="80" t="s">
        <v>351</v>
      </c>
      <c r="D11" s="102">
        <f>COUNTIF(Escala1!E24:AH24,"HEA")</f>
        <v>0</v>
      </c>
      <c r="E11" s="102">
        <f>COUNTIF(Escala1!E24:AH24,"HEB")</f>
        <v>0</v>
      </c>
      <c r="F11" s="102">
        <f>COUNTIF(Escala1!E24:AH24,"HEC")</f>
        <v>0</v>
      </c>
      <c r="G11" s="102">
        <f>COUNTIF(Escala1!E24:AH24,"HE/A")</f>
        <v>0</v>
      </c>
      <c r="H11" s="102">
        <f>COUNTIF(Escala1!E24:AH24,"HE/B")</f>
        <v>0</v>
      </c>
      <c r="I11" s="102">
        <f>COUNTIF(Escala1!E24:AH24,"HE/C")</f>
        <v>0</v>
      </c>
      <c r="J11" s="102">
        <f>COUNTIF(Escala1!E24:AH24,"A/HE")</f>
        <v>0</v>
      </c>
      <c r="K11" s="102">
        <f>COUNTIF(Escala1!E24:AH24,"B/HE")</f>
        <v>0</v>
      </c>
      <c r="L11" s="102">
        <f>COUNTIF(Escala1!E24:AH24,"C/HE")</f>
        <v>0</v>
      </c>
      <c r="M11" s="103">
        <f t="shared" si="1"/>
        <v>0</v>
      </c>
      <c r="O11" s="99" t="str">
        <f t="shared" si="2"/>
        <v/>
      </c>
      <c r="P11" s="99" t="str">
        <f t="shared" si="3"/>
        <v/>
      </c>
      <c r="Q11" s="99" t="str">
        <f t="shared" si="4"/>
        <v/>
      </c>
      <c r="R11" s="99" t="str">
        <f t="shared" si="5"/>
        <v/>
      </c>
      <c r="S11" s="99" t="str">
        <f t="shared" si="6"/>
        <v/>
      </c>
      <c r="T11" s="99" t="str">
        <f t="shared" si="7"/>
        <v/>
      </c>
      <c r="U11" s="99" t="str">
        <f t="shared" si="8"/>
        <v/>
      </c>
      <c r="V11" s="99" t="str">
        <f t="shared" si="9"/>
        <v/>
      </c>
      <c r="W11" s="99" t="str">
        <f t="shared" si="10"/>
        <v/>
      </c>
      <c r="X11" s="99"/>
      <c r="Y11" s="99"/>
      <c r="Z11" s="99"/>
      <c r="AA11" s="99"/>
    </row>
    <row r="12" spans="1:27" x14ac:dyDescent="0.2">
      <c r="A12" s="78">
        <v>10</v>
      </c>
      <c r="B12" s="79" t="s">
        <v>383</v>
      </c>
      <c r="C12" s="80" t="s">
        <v>352</v>
      </c>
      <c r="D12" s="102">
        <f>COUNTIF(Escala1!E25:AH25,"HEA")</f>
        <v>0</v>
      </c>
      <c r="E12" s="102">
        <f>COUNTIF(Escala1!E25:AH25,"HEB")</f>
        <v>0</v>
      </c>
      <c r="F12" s="102">
        <f>COUNTIF(Escala1!E25:AH25,"HEC")</f>
        <v>0</v>
      </c>
      <c r="G12" s="102">
        <f>COUNTIF(Escala1!E25:AH25,"HE/A")</f>
        <v>0</v>
      </c>
      <c r="H12" s="102">
        <f>COUNTIF(Escala1!E25:AH25,"HE/B")</f>
        <v>0</v>
      </c>
      <c r="I12" s="102">
        <f>COUNTIF(Escala1!E25:AH25,"HE/C")</f>
        <v>0</v>
      </c>
      <c r="J12" s="102">
        <f>COUNTIF(Escala1!E25:AH25,"A/HE")</f>
        <v>0</v>
      </c>
      <c r="K12" s="102">
        <f>COUNTIF(Escala1!E25:AH25,"B/HE")</f>
        <v>0</v>
      </c>
      <c r="L12" s="102">
        <f>COUNTIF(Escala1!E25:AH25,"C/HE")</f>
        <v>0</v>
      </c>
      <c r="M12" s="103">
        <f t="shared" si="1"/>
        <v>0</v>
      </c>
      <c r="O12" s="99" t="str">
        <f t="shared" si="2"/>
        <v/>
      </c>
      <c r="P12" s="99" t="str">
        <f t="shared" si="3"/>
        <v/>
      </c>
      <c r="Q12" s="99" t="str">
        <f t="shared" si="4"/>
        <v/>
      </c>
      <c r="R12" s="99" t="str">
        <f t="shared" si="5"/>
        <v/>
      </c>
      <c r="S12" s="99" t="str">
        <f t="shared" si="6"/>
        <v/>
      </c>
      <c r="T12" s="99" t="str">
        <f t="shared" si="7"/>
        <v/>
      </c>
      <c r="U12" s="99" t="str">
        <f t="shared" si="8"/>
        <v/>
      </c>
      <c r="V12" s="99" t="str">
        <f t="shared" si="9"/>
        <v/>
      </c>
      <c r="W12" s="99" t="str">
        <f t="shared" si="10"/>
        <v/>
      </c>
      <c r="X12" s="99"/>
      <c r="Y12" s="99"/>
      <c r="Z12" s="99"/>
      <c r="AA12" s="99"/>
    </row>
    <row r="13" spans="1:27" x14ac:dyDescent="0.2">
      <c r="A13" s="78">
        <v>11</v>
      </c>
      <c r="B13" s="79" t="s">
        <v>353</v>
      </c>
      <c r="C13" s="80" t="s">
        <v>384</v>
      </c>
      <c r="D13" s="102">
        <f>COUNTIF(Escala1!E26:AH26,"HEA")</f>
        <v>0</v>
      </c>
      <c r="E13" s="102">
        <f>COUNTIF(Escala1!E26:AH26,"HEB")</f>
        <v>0</v>
      </c>
      <c r="F13" s="102">
        <f>COUNTIF(Escala1!E26:AH26,"HEC")</f>
        <v>0</v>
      </c>
      <c r="G13" s="102">
        <f>COUNTIF(Escala1!E26:AH26,"HE/A")</f>
        <v>0</v>
      </c>
      <c r="H13" s="102">
        <f>COUNTIF(Escala1!E26:AH26,"HE/B")</f>
        <v>0</v>
      </c>
      <c r="I13" s="102">
        <f>COUNTIF(Escala1!E26:AH26,"HE/C")</f>
        <v>0</v>
      </c>
      <c r="J13" s="102">
        <f>COUNTIF(Escala1!E26:AH26,"A/HE")</f>
        <v>0</v>
      </c>
      <c r="K13" s="102">
        <f>COUNTIF(Escala1!E26:AH26,"B/HE")</f>
        <v>0</v>
      </c>
      <c r="L13" s="102">
        <f>COUNTIF(Escala1!E26:AH26,"C/HE")</f>
        <v>0</v>
      </c>
      <c r="M13" s="103">
        <f t="shared" si="1"/>
        <v>0</v>
      </c>
      <c r="O13" s="99" t="str">
        <f t="shared" si="2"/>
        <v/>
      </c>
      <c r="P13" s="99" t="str">
        <f t="shared" si="3"/>
        <v/>
      </c>
      <c r="Q13" s="99" t="str">
        <f t="shared" si="4"/>
        <v/>
      </c>
      <c r="R13" s="99" t="str">
        <f t="shared" si="5"/>
        <v/>
      </c>
      <c r="S13" s="99" t="str">
        <f t="shared" si="6"/>
        <v/>
      </c>
      <c r="T13" s="99" t="str">
        <f t="shared" si="7"/>
        <v/>
      </c>
      <c r="U13" s="99" t="str">
        <f t="shared" si="8"/>
        <v/>
      </c>
      <c r="V13" s="99" t="str">
        <f t="shared" si="9"/>
        <v/>
      </c>
      <c r="W13" s="99" t="str">
        <f t="shared" si="10"/>
        <v/>
      </c>
      <c r="X13" s="99"/>
      <c r="Y13" s="99"/>
      <c r="Z13" s="99"/>
      <c r="AA13" s="99"/>
    </row>
    <row r="14" spans="1:27" x14ac:dyDescent="0.2">
      <c r="A14" s="78">
        <v>12</v>
      </c>
      <c r="B14" s="79" t="s">
        <v>411</v>
      </c>
      <c r="C14" s="80" t="s">
        <v>354</v>
      </c>
      <c r="D14" s="102">
        <f>COUNTIF(Escala1!E27:AH27,"HEA")</f>
        <v>0</v>
      </c>
      <c r="E14" s="102">
        <f>COUNTIF(Escala1!E27:AH27,"HEB")</f>
        <v>0</v>
      </c>
      <c r="F14" s="102">
        <f>COUNTIF(Escala1!E27:AH27,"HEC")</f>
        <v>0</v>
      </c>
      <c r="G14" s="102">
        <f>COUNTIF(Escala1!E27:AH27,"HE/A")</f>
        <v>0</v>
      </c>
      <c r="H14" s="102">
        <f>COUNTIF(Escala1!E27:AH27,"HE/B")</f>
        <v>0</v>
      </c>
      <c r="I14" s="102">
        <f>COUNTIF(Escala1!E27:AH27,"HE/C")</f>
        <v>0</v>
      </c>
      <c r="J14" s="102">
        <f>COUNTIF(Escala1!E27:AH27,"A/HE")</f>
        <v>0</v>
      </c>
      <c r="K14" s="102">
        <f>COUNTIF(Escala1!E27:AH27,"B/HE")</f>
        <v>0</v>
      </c>
      <c r="L14" s="102">
        <f>COUNTIF(Escala1!E27:AH27,"C/HE")</f>
        <v>0</v>
      </c>
      <c r="M14" s="103">
        <f t="shared" si="1"/>
        <v>0</v>
      </c>
      <c r="O14" s="99" t="str">
        <f t="shared" si="2"/>
        <v/>
      </c>
      <c r="P14" s="99" t="str">
        <f t="shared" si="3"/>
        <v/>
      </c>
      <c r="Q14" s="99" t="str">
        <f t="shared" si="4"/>
        <v/>
      </c>
      <c r="R14" s="99" t="str">
        <f t="shared" si="5"/>
        <v/>
      </c>
      <c r="S14" s="99" t="str">
        <f t="shared" si="6"/>
        <v/>
      </c>
      <c r="T14" s="99" t="str">
        <f t="shared" si="7"/>
        <v/>
      </c>
      <c r="U14" s="99" t="str">
        <f t="shared" si="8"/>
        <v/>
      </c>
      <c r="V14" s="99" t="str">
        <f t="shared" si="9"/>
        <v/>
      </c>
      <c r="W14" s="99" t="str">
        <f t="shared" si="10"/>
        <v/>
      </c>
      <c r="X14" s="99"/>
      <c r="Y14" s="99"/>
      <c r="Z14" s="99"/>
      <c r="AA14" s="99"/>
    </row>
    <row r="15" spans="1:27" x14ac:dyDescent="0.2">
      <c r="A15" s="78">
        <v>13</v>
      </c>
      <c r="B15" s="79" t="s">
        <v>355</v>
      </c>
      <c r="C15" s="80" t="s">
        <v>356</v>
      </c>
      <c r="D15" s="102">
        <f>COUNTIF(Escala1!E28:AH28,"HEA")</f>
        <v>0</v>
      </c>
      <c r="E15" s="102">
        <f>COUNTIF(Escala1!E28:AH28,"HEB")</f>
        <v>1</v>
      </c>
      <c r="F15" s="102">
        <f>COUNTIF(Escala1!E28:AH28,"HEC")</f>
        <v>0</v>
      </c>
      <c r="G15" s="102">
        <f>COUNTIF(Escala1!E28:AH28,"HE/A")</f>
        <v>0</v>
      </c>
      <c r="H15" s="102">
        <f>COUNTIF(Escala1!E28:AH28,"HE/B")</f>
        <v>0</v>
      </c>
      <c r="I15" s="102">
        <f>COUNTIF(Escala1!E28:AH28,"HE/C")</f>
        <v>0</v>
      </c>
      <c r="J15" s="102">
        <f>COUNTIF(Escala1!E28:AH28,"A/HE")</f>
        <v>0</v>
      </c>
      <c r="K15" s="102">
        <f>COUNTIF(Escala1!E28:AH28,"B/HE")</f>
        <v>0</v>
      </c>
      <c r="L15" s="102">
        <f>COUNTIF(Escala1!E28:AH28,"C/HE")</f>
        <v>0</v>
      </c>
      <c r="M15" s="103">
        <f t="shared" si="1"/>
        <v>8</v>
      </c>
      <c r="O15" s="99" t="str">
        <f t="shared" si="2"/>
        <v/>
      </c>
      <c r="P15" s="99" t="str">
        <f t="shared" si="3"/>
        <v>15 as 23</v>
      </c>
      <c r="Q15" s="99" t="str">
        <f t="shared" si="4"/>
        <v/>
      </c>
      <c r="R15" s="99" t="str">
        <f t="shared" si="5"/>
        <v/>
      </c>
      <c r="S15" s="99" t="str">
        <f t="shared" si="6"/>
        <v/>
      </c>
      <c r="T15" s="99" t="str">
        <f t="shared" si="7"/>
        <v/>
      </c>
      <c r="U15" s="99" t="str">
        <f t="shared" si="8"/>
        <v/>
      </c>
      <c r="V15" s="99" t="str">
        <f t="shared" si="9"/>
        <v/>
      </c>
      <c r="W15" s="99" t="str">
        <f t="shared" si="10"/>
        <v/>
      </c>
      <c r="X15" s="99"/>
      <c r="Y15" s="99"/>
      <c r="Z15" s="99"/>
      <c r="AA15" s="99"/>
    </row>
    <row r="16" spans="1:27" x14ac:dyDescent="0.2">
      <c r="A16" s="81">
        <v>14</v>
      </c>
      <c r="B16" s="82" t="s">
        <v>413</v>
      </c>
      <c r="C16" s="83" t="s">
        <v>357</v>
      </c>
      <c r="D16" s="102">
        <f>COUNTIF(Escala1!E29:AH29,"HEA")</f>
        <v>0</v>
      </c>
      <c r="E16" s="102">
        <f>COUNTIF(Escala1!E29:AH29,"HEB")</f>
        <v>0</v>
      </c>
      <c r="F16" s="102">
        <f>COUNTIF(Escala1!E29:AH29,"HEC")</f>
        <v>0</v>
      </c>
      <c r="G16" s="102">
        <f>COUNTIF(Escala1!E29:AH29,"HE/A")</f>
        <v>0</v>
      </c>
      <c r="H16" s="102">
        <f>COUNTIF(Escala1!E29:AH29,"HE/B")</f>
        <v>0</v>
      </c>
      <c r="I16" s="102">
        <f>COUNTIF(Escala1!E29:AH29,"HE/C")</f>
        <v>0</v>
      </c>
      <c r="J16" s="102">
        <f>COUNTIF(Escala1!E29:AH29,"A/HE")</f>
        <v>0</v>
      </c>
      <c r="K16" s="102">
        <f>COUNTIF(Escala1!E29:AH29,"B/HE")</f>
        <v>0</v>
      </c>
      <c r="L16" s="102">
        <f>COUNTIF(Escala1!E29:AH29,"C/HE")</f>
        <v>0</v>
      </c>
      <c r="M16" s="103">
        <f t="shared" si="1"/>
        <v>0</v>
      </c>
      <c r="O16" s="99" t="str">
        <f t="shared" si="2"/>
        <v/>
      </c>
      <c r="P16" s="99" t="str">
        <f t="shared" si="3"/>
        <v/>
      </c>
      <c r="Q16" s="99" t="str">
        <f t="shared" si="4"/>
        <v/>
      </c>
      <c r="R16" s="99" t="str">
        <f t="shared" si="5"/>
        <v/>
      </c>
      <c r="S16" s="99" t="str">
        <f t="shared" si="6"/>
        <v/>
      </c>
      <c r="T16" s="99" t="str">
        <f t="shared" si="7"/>
        <v/>
      </c>
      <c r="U16" s="99" t="str">
        <f t="shared" si="8"/>
        <v/>
      </c>
      <c r="V16" s="99" t="str">
        <f t="shared" si="9"/>
        <v/>
      </c>
      <c r="W16" s="99" t="str">
        <f t="shared" si="10"/>
        <v/>
      </c>
      <c r="X16" s="99"/>
      <c r="Y16" s="99"/>
      <c r="Z16" s="99"/>
      <c r="AA16" s="99"/>
    </row>
    <row r="17" spans="1:27" x14ac:dyDescent="0.2">
      <c r="A17" s="81">
        <v>15</v>
      </c>
      <c r="B17" s="82" t="s">
        <v>407</v>
      </c>
      <c r="C17" s="83" t="s">
        <v>358</v>
      </c>
      <c r="D17" s="102">
        <f>COUNTIF(Escala1!E30:AH30,"HEA")</f>
        <v>0</v>
      </c>
      <c r="E17" s="102">
        <f>COUNTIF(Escala1!E30:AH30,"HEB")</f>
        <v>0</v>
      </c>
      <c r="F17" s="102">
        <f>COUNTIF(Escala1!E30:AH30,"HEC")</f>
        <v>0</v>
      </c>
      <c r="G17" s="102">
        <f>COUNTIF(Escala1!E30:AH30,"HE/A")</f>
        <v>0</v>
      </c>
      <c r="H17" s="102">
        <f>COUNTIF(Escala1!E30:AH30,"HE/B")</f>
        <v>0</v>
      </c>
      <c r="I17" s="102">
        <f>COUNTIF(Escala1!E30:AH30,"HE/C")</f>
        <v>0</v>
      </c>
      <c r="J17" s="102">
        <f>COUNTIF(Escala1!E30:AH30,"A/HE")</f>
        <v>0</v>
      </c>
      <c r="K17" s="102">
        <f>COUNTIF(Escala1!E30:AH30,"B/HE")</f>
        <v>0</v>
      </c>
      <c r="L17" s="102">
        <f>COUNTIF(Escala1!E30:AH30,"C/HE")</f>
        <v>0</v>
      </c>
      <c r="M17" s="103">
        <f t="shared" si="1"/>
        <v>0</v>
      </c>
      <c r="O17" s="99" t="str">
        <f t="shared" si="2"/>
        <v/>
      </c>
      <c r="P17" s="99" t="str">
        <f t="shared" si="3"/>
        <v/>
      </c>
      <c r="Q17" s="99" t="str">
        <f t="shared" si="4"/>
        <v/>
      </c>
      <c r="R17" s="99" t="str">
        <f t="shared" si="5"/>
        <v/>
      </c>
      <c r="S17" s="99" t="str">
        <f t="shared" si="6"/>
        <v/>
      </c>
      <c r="T17" s="99" t="str">
        <f t="shared" si="7"/>
        <v/>
      </c>
      <c r="U17" s="99" t="str">
        <f t="shared" si="8"/>
        <v/>
      </c>
      <c r="V17" s="99" t="str">
        <f t="shared" si="9"/>
        <v/>
      </c>
      <c r="W17" s="99" t="str">
        <f t="shared" si="10"/>
        <v/>
      </c>
      <c r="X17" s="99"/>
      <c r="Y17" s="99"/>
      <c r="Z17" s="99"/>
      <c r="AA17" s="99"/>
    </row>
    <row r="18" spans="1:27" x14ac:dyDescent="0.2">
      <c r="A18" s="81">
        <v>16</v>
      </c>
      <c r="B18" s="82" t="s">
        <v>418</v>
      </c>
      <c r="C18" s="83" t="s">
        <v>359</v>
      </c>
      <c r="D18" s="102">
        <f>COUNTIF(Escala1!E31:AH31,"HEA")</f>
        <v>0</v>
      </c>
      <c r="E18" s="102">
        <f>COUNTIF(Escala1!E31:AH31,"HEB")</f>
        <v>0</v>
      </c>
      <c r="F18" s="102">
        <f>COUNTIF(Escala1!E31:AH31,"HEC")</f>
        <v>0</v>
      </c>
      <c r="G18" s="102">
        <f>COUNTIF(Escala1!E31:AH31,"HE/A")</f>
        <v>0</v>
      </c>
      <c r="H18" s="102">
        <f>COUNTIF(Escala1!E31:AH31,"HE/B")</f>
        <v>0</v>
      </c>
      <c r="I18" s="102">
        <f>COUNTIF(Escala1!E31:AH31,"HE/C")</f>
        <v>0</v>
      </c>
      <c r="J18" s="102">
        <f>COUNTIF(Escala1!E31:AH31,"A/HE")</f>
        <v>0</v>
      </c>
      <c r="K18" s="102">
        <f>COUNTIF(Escala1!E31:AH31,"B/HE")</f>
        <v>0</v>
      </c>
      <c r="L18" s="102">
        <f>COUNTIF(Escala1!E31:AH31,"C/HE")</f>
        <v>0</v>
      </c>
      <c r="M18" s="103">
        <f t="shared" si="1"/>
        <v>0</v>
      </c>
      <c r="O18" s="99" t="str">
        <f t="shared" si="2"/>
        <v/>
      </c>
      <c r="P18" s="99" t="str">
        <f t="shared" si="3"/>
        <v/>
      </c>
      <c r="Q18" s="99" t="str">
        <f t="shared" si="4"/>
        <v/>
      </c>
      <c r="R18" s="99" t="str">
        <f t="shared" si="5"/>
        <v/>
      </c>
      <c r="S18" s="99" t="str">
        <f t="shared" si="6"/>
        <v/>
      </c>
      <c r="T18" s="99" t="str">
        <f t="shared" si="7"/>
        <v/>
      </c>
      <c r="U18" s="99" t="str">
        <f t="shared" si="8"/>
        <v/>
      </c>
      <c r="V18" s="99" t="str">
        <f t="shared" si="9"/>
        <v/>
      </c>
      <c r="W18" s="99" t="str">
        <f t="shared" si="10"/>
        <v/>
      </c>
      <c r="X18" s="99"/>
      <c r="Y18" s="99"/>
      <c r="Z18" s="99"/>
      <c r="AA18" s="99"/>
    </row>
    <row r="19" spans="1:27" x14ac:dyDescent="0.2">
      <c r="A19" s="81">
        <v>17</v>
      </c>
      <c r="B19" s="82" t="s">
        <v>360</v>
      </c>
      <c r="C19" s="83" t="s">
        <v>361</v>
      </c>
      <c r="D19" s="102">
        <f>COUNTIF(Escala1!E32:AH32,"HEA")</f>
        <v>0</v>
      </c>
      <c r="E19" s="102">
        <f>COUNTIF(Escala1!E32:AH32,"HEB")</f>
        <v>0</v>
      </c>
      <c r="F19" s="102">
        <f>COUNTIF(Escala1!E32:AH32,"HEC")</f>
        <v>0</v>
      </c>
      <c r="G19" s="102">
        <f>COUNTIF(Escala1!E32:AH32,"HE/A")</f>
        <v>0</v>
      </c>
      <c r="H19" s="102">
        <f>COUNTIF(Escala1!E32:AH32,"HE/B")</f>
        <v>0</v>
      </c>
      <c r="I19" s="102">
        <f>COUNTIF(Escala1!E32:AH32,"HE/C")</f>
        <v>0</v>
      </c>
      <c r="J19" s="102">
        <f>COUNTIF(Escala1!E32:AH32,"A/HE")</f>
        <v>0</v>
      </c>
      <c r="K19" s="102">
        <f>COUNTIF(Escala1!E32:AH32,"B/HE")</f>
        <v>0</v>
      </c>
      <c r="L19" s="102">
        <f>COUNTIF(Escala1!E32:AH32,"C/HE")</f>
        <v>1</v>
      </c>
      <c r="M19" s="103">
        <f t="shared" si="1"/>
        <v>4</v>
      </c>
      <c r="O19" s="99" t="str">
        <f t="shared" si="2"/>
        <v/>
      </c>
      <c r="P19" s="99" t="str">
        <f t="shared" si="3"/>
        <v/>
      </c>
      <c r="Q19" s="99" t="str">
        <f t="shared" si="4"/>
        <v/>
      </c>
      <c r="R19" s="99" t="str">
        <f t="shared" si="5"/>
        <v/>
      </c>
      <c r="S19" s="99" t="str">
        <f t="shared" si="6"/>
        <v/>
      </c>
      <c r="T19" s="99" t="str">
        <f t="shared" si="7"/>
        <v/>
      </c>
      <c r="U19" s="99" t="str">
        <f t="shared" si="8"/>
        <v/>
      </c>
      <c r="V19" s="99" t="str">
        <f t="shared" si="9"/>
        <v/>
      </c>
      <c r="W19" s="99" t="str">
        <f t="shared" si="10"/>
        <v>7 as 11</v>
      </c>
      <c r="X19" s="99"/>
      <c r="Y19" s="99"/>
      <c r="Z19" s="99"/>
      <c r="AA19" s="99"/>
    </row>
    <row r="20" spans="1:27" x14ac:dyDescent="0.2">
      <c r="A20" s="81">
        <v>18</v>
      </c>
      <c r="B20" s="82" t="s">
        <v>412</v>
      </c>
      <c r="C20" s="83" t="s">
        <v>362</v>
      </c>
      <c r="D20" s="102">
        <f>COUNTIF(Escala1!E33:AH33,"HEA")</f>
        <v>0</v>
      </c>
      <c r="E20" s="102">
        <f>COUNTIF(Escala1!E33:AH33,"HEB")</f>
        <v>0</v>
      </c>
      <c r="F20" s="102">
        <f>COUNTIF(Escala1!E33:AH33,"HEC")</f>
        <v>0</v>
      </c>
      <c r="G20" s="102">
        <f>COUNTIF(Escala1!E33:AH33,"HE/A")</f>
        <v>0</v>
      </c>
      <c r="H20" s="102">
        <f>COUNTIF(Escala1!E33:AH33,"HE/B")</f>
        <v>0</v>
      </c>
      <c r="I20" s="102">
        <f>COUNTIF(Escala1!E33:AH33,"HE/C")</f>
        <v>0</v>
      </c>
      <c r="J20" s="102">
        <f>COUNTIF(Escala1!E33:AH33,"A/HE")</f>
        <v>0</v>
      </c>
      <c r="K20" s="102">
        <f>COUNTIF(Escala1!E33:AH33,"B/HE")</f>
        <v>0</v>
      </c>
      <c r="L20" s="102">
        <f>COUNTIF(Escala1!E33:AH33,"C/HE")</f>
        <v>0</v>
      </c>
      <c r="M20" s="103">
        <f t="shared" si="1"/>
        <v>0</v>
      </c>
      <c r="O20" s="99" t="str">
        <f t="shared" si="2"/>
        <v/>
      </c>
      <c r="P20" s="99" t="str">
        <f t="shared" si="3"/>
        <v/>
      </c>
      <c r="Q20" s="99" t="str">
        <f t="shared" si="4"/>
        <v/>
      </c>
      <c r="R20" s="99" t="str">
        <f t="shared" si="5"/>
        <v/>
      </c>
      <c r="S20" s="99" t="str">
        <f t="shared" si="6"/>
        <v/>
      </c>
      <c r="T20" s="99" t="str">
        <f t="shared" si="7"/>
        <v/>
      </c>
      <c r="U20" s="99" t="str">
        <f t="shared" si="8"/>
        <v/>
      </c>
      <c r="V20" s="99" t="str">
        <f t="shared" si="9"/>
        <v/>
      </c>
      <c r="W20" s="99" t="str">
        <f t="shared" si="10"/>
        <v/>
      </c>
      <c r="X20" s="99"/>
      <c r="Y20" s="99"/>
      <c r="Z20" s="99"/>
      <c r="AA20" s="99"/>
    </row>
    <row r="21" spans="1:27" x14ac:dyDescent="0.2">
      <c r="A21" s="81">
        <v>19</v>
      </c>
      <c r="B21" s="82" t="s">
        <v>394</v>
      </c>
      <c r="C21" s="83" t="s">
        <v>396</v>
      </c>
      <c r="D21" s="102">
        <f>COUNTIF(Escala1!E34:AH34,"HEA")</f>
        <v>0</v>
      </c>
      <c r="E21" s="102">
        <f>COUNTIF(Escala1!E34:AH34,"HEB")</f>
        <v>0</v>
      </c>
      <c r="F21" s="102">
        <f>COUNTIF(Escala1!E34:AH34,"HEC")</f>
        <v>0</v>
      </c>
      <c r="G21" s="102">
        <f>COUNTIF(Escala1!E34:AH34,"HE/A")</f>
        <v>0</v>
      </c>
      <c r="H21" s="102">
        <f>COUNTIF(Escala1!E34:AH34,"HE/B")</f>
        <v>0</v>
      </c>
      <c r="I21" s="102">
        <f>COUNTIF(Escala1!E34:AH34,"HE/C")</f>
        <v>0</v>
      </c>
      <c r="J21" s="102">
        <f>COUNTIF(Escala1!E34:AH34,"A/HE")</f>
        <v>0</v>
      </c>
      <c r="K21" s="102">
        <f>COUNTIF(Escala1!E34:AH34,"B/HE")</f>
        <v>0</v>
      </c>
      <c r="L21" s="102">
        <f>COUNTIF(Escala1!E34:AH34,"C/HE")</f>
        <v>0</v>
      </c>
      <c r="M21" s="103">
        <f t="shared" si="1"/>
        <v>0</v>
      </c>
      <c r="O21" s="99" t="str">
        <f t="shared" si="2"/>
        <v/>
      </c>
      <c r="P21" s="99" t="str">
        <f t="shared" si="3"/>
        <v/>
      </c>
      <c r="Q21" s="99" t="str">
        <f t="shared" si="4"/>
        <v/>
      </c>
      <c r="R21" s="99" t="str">
        <f t="shared" si="5"/>
        <v/>
      </c>
      <c r="S21" s="99" t="str">
        <f t="shared" si="6"/>
        <v/>
      </c>
      <c r="T21" s="99" t="str">
        <f t="shared" si="7"/>
        <v/>
      </c>
      <c r="U21" s="99" t="str">
        <f t="shared" si="8"/>
        <v/>
      </c>
      <c r="V21" s="99" t="str">
        <f t="shared" si="9"/>
        <v/>
      </c>
      <c r="W21" s="99" t="str">
        <f t="shared" si="10"/>
        <v/>
      </c>
      <c r="X21" s="99"/>
      <c r="Y21" s="99"/>
      <c r="Z21" s="99"/>
      <c r="AA21" s="99"/>
    </row>
    <row r="22" spans="1:27" x14ac:dyDescent="0.2">
      <c r="A22" s="84">
        <v>20</v>
      </c>
      <c r="B22" s="85" t="s">
        <v>406</v>
      </c>
      <c r="C22" s="86" t="s">
        <v>363</v>
      </c>
      <c r="D22" s="102">
        <f>COUNTIF(Escala1!E35:AH35,"HEA")</f>
        <v>0</v>
      </c>
      <c r="E22" s="102">
        <f>COUNTIF(Escala1!E35:AH35,"HEB")</f>
        <v>0</v>
      </c>
      <c r="F22" s="102">
        <f>COUNTIF(Escala1!E35:AH35,"HEC")</f>
        <v>0</v>
      </c>
      <c r="G22" s="102">
        <f>COUNTIF(Escala1!E35:AH35,"HE/A")</f>
        <v>0</v>
      </c>
      <c r="H22" s="102">
        <f>COUNTIF(Escala1!E35:AH35,"HE/B")</f>
        <v>0</v>
      </c>
      <c r="I22" s="102">
        <f>COUNTIF(Escala1!E35:AH35,"HE/C")</f>
        <v>0</v>
      </c>
      <c r="J22" s="102">
        <f>COUNTIF(Escala1!E35:AH35,"A/HE")</f>
        <v>0</v>
      </c>
      <c r="K22" s="102">
        <f>COUNTIF(Escala1!E35:AH35,"B/HE")</f>
        <v>0</v>
      </c>
      <c r="L22" s="102">
        <f>COUNTIF(Escala1!E35:AH35,"C/HE")</f>
        <v>0</v>
      </c>
      <c r="M22" s="103">
        <f t="shared" si="1"/>
        <v>0</v>
      </c>
      <c r="O22" s="99" t="str">
        <f t="shared" si="2"/>
        <v/>
      </c>
      <c r="P22" s="99" t="str">
        <f t="shared" si="3"/>
        <v/>
      </c>
      <c r="Q22" s="99" t="str">
        <f t="shared" si="4"/>
        <v/>
      </c>
      <c r="R22" s="99" t="str">
        <f t="shared" si="5"/>
        <v/>
      </c>
      <c r="S22" s="99" t="str">
        <f t="shared" si="6"/>
        <v/>
      </c>
      <c r="T22" s="99" t="str">
        <f t="shared" si="7"/>
        <v/>
      </c>
      <c r="U22" s="99" t="str">
        <f t="shared" si="8"/>
        <v/>
      </c>
      <c r="V22" s="99" t="str">
        <f t="shared" si="9"/>
        <v/>
      </c>
      <c r="W22" s="99" t="str">
        <f t="shared" si="10"/>
        <v/>
      </c>
      <c r="X22" s="99"/>
      <c r="Y22" s="99"/>
      <c r="Z22" s="99"/>
      <c r="AA22" s="99"/>
    </row>
    <row r="23" spans="1:27" x14ac:dyDescent="0.2">
      <c r="A23" s="84">
        <v>21</v>
      </c>
      <c r="B23" s="85" t="s">
        <v>419</v>
      </c>
      <c r="C23" s="86" t="s">
        <v>364</v>
      </c>
      <c r="D23" s="102">
        <f>COUNTIF(Escala1!E36:AH36,"HEA")</f>
        <v>0</v>
      </c>
      <c r="E23" s="102">
        <f>COUNTIF(Escala1!E36:AH36,"HEB")</f>
        <v>0</v>
      </c>
      <c r="F23" s="102">
        <f>COUNTIF(Escala1!E36:AH36,"HEC")</f>
        <v>0</v>
      </c>
      <c r="G23" s="102">
        <f>COUNTIF(Escala1!E36:AH36,"HE/A")</f>
        <v>0</v>
      </c>
      <c r="H23" s="102">
        <f>COUNTIF(Escala1!E36:AH36,"HE/B")</f>
        <v>0</v>
      </c>
      <c r="I23" s="102">
        <f>COUNTIF(Escala1!E36:AH36,"HE/C")</f>
        <v>1</v>
      </c>
      <c r="J23" s="102">
        <f>COUNTIF(Escala1!E36:AH36,"A/HE")</f>
        <v>0</v>
      </c>
      <c r="K23" s="102">
        <f>COUNTIF(Escala1!E36:AH36,"B/HE")</f>
        <v>0</v>
      </c>
      <c r="L23" s="102">
        <f>COUNTIF(Escala1!E36:AH36,"C/HE")</f>
        <v>0</v>
      </c>
      <c r="M23" s="103">
        <f t="shared" si="1"/>
        <v>4</v>
      </c>
      <c r="O23" s="99" t="str">
        <f t="shared" si="2"/>
        <v/>
      </c>
      <c r="P23" s="99" t="str">
        <f t="shared" si="3"/>
        <v/>
      </c>
      <c r="Q23" s="99" t="str">
        <f t="shared" si="4"/>
        <v/>
      </c>
      <c r="R23" s="99" t="str">
        <f t="shared" si="5"/>
        <v/>
      </c>
      <c r="S23" s="99" t="str">
        <f t="shared" si="6"/>
        <v/>
      </c>
      <c r="T23" s="99" t="str">
        <f t="shared" si="7"/>
        <v>19 as 23</v>
      </c>
      <c r="U23" s="99" t="str">
        <f t="shared" si="8"/>
        <v/>
      </c>
      <c r="V23" s="99" t="str">
        <f t="shared" si="9"/>
        <v/>
      </c>
      <c r="W23" s="99" t="str">
        <f t="shared" si="10"/>
        <v/>
      </c>
      <c r="X23" s="99"/>
      <c r="Y23" s="99"/>
      <c r="Z23" s="99"/>
      <c r="AA23" s="99"/>
    </row>
    <row r="24" spans="1:27" x14ac:dyDescent="0.2">
      <c r="A24" s="84">
        <v>22</v>
      </c>
      <c r="B24" s="85" t="s">
        <v>414</v>
      </c>
      <c r="C24" s="86" t="s">
        <v>376</v>
      </c>
      <c r="D24" s="102">
        <f>COUNTIF(Escala1!E37:AH37,"HEA")</f>
        <v>0</v>
      </c>
      <c r="E24" s="102">
        <f>COUNTIF(Escala1!E37:AH37,"HEB")</f>
        <v>1</v>
      </c>
      <c r="F24" s="102">
        <f>COUNTIF(Escala1!E37:AH37,"HEC")</f>
        <v>0</v>
      </c>
      <c r="G24" s="102">
        <f>COUNTIF(Escala1!E37:AH37,"HE/A")</f>
        <v>0</v>
      </c>
      <c r="H24" s="102">
        <f>COUNTIF(Escala1!E37:AH37,"HE/B")</f>
        <v>0</v>
      </c>
      <c r="I24" s="102">
        <f>COUNTIF(Escala1!E37:AH37,"HE/C")</f>
        <v>0</v>
      </c>
      <c r="J24" s="102">
        <f>COUNTIF(Escala1!E37:AH37,"A/HE")</f>
        <v>0</v>
      </c>
      <c r="K24" s="102">
        <f>COUNTIF(Escala1!E37:AH37,"B/HE")</f>
        <v>0</v>
      </c>
      <c r="L24" s="102">
        <f>COUNTIF(Escala1!E37:AH37,"C/HE")</f>
        <v>0</v>
      </c>
      <c r="M24" s="103">
        <f t="shared" si="1"/>
        <v>8</v>
      </c>
      <c r="O24" s="99" t="str">
        <f t="shared" si="2"/>
        <v/>
      </c>
      <c r="P24" s="99" t="str">
        <f t="shared" si="3"/>
        <v>15 as 23</v>
      </c>
      <c r="Q24" s="99" t="str">
        <f t="shared" si="4"/>
        <v/>
      </c>
      <c r="R24" s="99" t="str">
        <f t="shared" si="5"/>
        <v/>
      </c>
      <c r="S24" s="99" t="str">
        <f t="shared" si="6"/>
        <v/>
      </c>
      <c r="T24" s="99" t="str">
        <f t="shared" si="7"/>
        <v/>
      </c>
      <c r="U24" s="99" t="str">
        <f t="shared" si="8"/>
        <v/>
      </c>
      <c r="V24" s="99" t="str">
        <f t="shared" si="9"/>
        <v/>
      </c>
      <c r="W24" s="99" t="str">
        <f t="shared" si="10"/>
        <v/>
      </c>
      <c r="X24" s="99"/>
      <c r="Y24" s="99"/>
      <c r="Z24" s="99"/>
      <c r="AA24" s="99"/>
    </row>
    <row r="25" spans="1:27" x14ac:dyDescent="0.2">
      <c r="A25" s="84">
        <v>23</v>
      </c>
      <c r="B25" s="85" t="s">
        <v>367</v>
      </c>
      <c r="C25" s="86" t="s">
        <v>368</v>
      </c>
      <c r="D25" s="102">
        <f>COUNTIF(Escala1!E38:AH38,"HEA")</f>
        <v>0</v>
      </c>
      <c r="E25" s="102">
        <f>COUNTIF(Escala1!E38:AH38,"HEB")</f>
        <v>1</v>
      </c>
      <c r="F25" s="102">
        <f>COUNTIF(Escala1!E38:AH38,"HEC")</f>
        <v>0</v>
      </c>
      <c r="G25" s="102">
        <f>COUNTIF(Escala1!E38:AH38,"HE/A")</f>
        <v>0</v>
      </c>
      <c r="H25" s="102">
        <f>COUNTIF(Escala1!E38:AH38,"HE/B")</f>
        <v>0</v>
      </c>
      <c r="I25" s="102">
        <f>COUNTIF(Escala1!E38:AH38,"HE/C")</f>
        <v>0</v>
      </c>
      <c r="J25" s="102">
        <f>COUNTIF(Escala1!E38:AH38,"A/HE")</f>
        <v>0</v>
      </c>
      <c r="K25" s="102">
        <f>COUNTIF(Escala1!E38:AH38,"B/HE")</f>
        <v>0</v>
      </c>
      <c r="L25" s="102">
        <f>COUNTIF(Escala1!E38:AH38,"C/HE")</f>
        <v>0</v>
      </c>
      <c r="M25" s="103">
        <f t="shared" si="1"/>
        <v>8</v>
      </c>
      <c r="O25" s="99" t="str">
        <f t="shared" si="2"/>
        <v/>
      </c>
      <c r="P25" s="99" t="str">
        <f t="shared" si="3"/>
        <v>15 as 23</v>
      </c>
      <c r="Q25" s="99" t="str">
        <f t="shared" si="4"/>
        <v/>
      </c>
      <c r="R25" s="99" t="str">
        <f t="shared" si="5"/>
        <v/>
      </c>
      <c r="S25" s="99" t="str">
        <f t="shared" si="6"/>
        <v/>
      </c>
      <c r="T25" s="99" t="str">
        <f t="shared" si="7"/>
        <v/>
      </c>
      <c r="U25" s="99" t="str">
        <f t="shared" si="8"/>
        <v/>
      </c>
      <c r="V25" s="99" t="str">
        <f t="shared" si="9"/>
        <v/>
      </c>
      <c r="W25" s="99" t="str">
        <f t="shared" si="10"/>
        <v/>
      </c>
      <c r="X25" s="99"/>
      <c r="Y25" s="99"/>
      <c r="Z25" s="99"/>
      <c r="AA25" s="99"/>
    </row>
    <row r="26" spans="1:27" x14ac:dyDescent="0.2">
      <c r="A26" s="84">
        <v>24</v>
      </c>
      <c r="B26" s="85" t="s">
        <v>369</v>
      </c>
      <c r="C26" s="86" t="s">
        <v>370</v>
      </c>
      <c r="D26" s="102">
        <f>COUNTIF(Escala1!E39:AH39,"HEA")</f>
        <v>0</v>
      </c>
      <c r="E26" s="102">
        <f>COUNTIF(Escala1!E39:AH39,"HEB")</f>
        <v>2</v>
      </c>
      <c r="F26" s="102">
        <f>COUNTIF(Escala1!E39:AH39,"HEC")</f>
        <v>0</v>
      </c>
      <c r="G26" s="102">
        <f>COUNTIF(Escala1!E39:AH39,"HE/A")</f>
        <v>0</v>
      </c>
      <c r="H26" s="102">
        <f>COUNTIF(Escala1!E39:AH39,"HE/B")</f>
        <v>0</v>
      </c>
      <c r="I26" s="102">
        <f>COUNTIF(Escala1!E39:AH39,"HE/C")</f>
        <v>0</v>
      </c>
      <c r="J26" s="102">
        <f>COUNTIF(Escala1!E39:AH39,"A/HE")</f>
        <v>0</v>
      </c>
      <c r="K26" s="102">
        <f>COUNTIF(Escala1!E39:AH39,"B/HE")</f>
        <v>0</v>
      </c>
      <c r="L26" s="102">
        <f>COUNTIF(Escala1!E39:AH39,"C/HE")</f>
        <v>0</v>
      </c>
      <c r="M26" s="103">
        <f t="shared" si="1"/>
        <v>16</v>
      </c>
      <c r="O26" s="99" t="str">
        <f t="shared" si="2"/>
        <v/>
      </c>
      <c r="P26" s="99" t="str">
        <f t="shared" si="3"/>
        <v>2(15 as 23)</v>
      </c>
      <c r="Q26" s="99" t="str">
        <f t="shared" si="4"/>
        <v/>
      </c>
      <c r="R26" s="99" t="str">
        <f t="shared" si="5"/>
        <v/>
      </c>
      <c r="S26" s="99" t="str">
        <f t="shared" si="6"/>
        <v/>
      </c>
      <c r="T26" s="99" t="str">
        <f t="shared" si="7"/>
        <v/>
      </c>
      <c r="U26" s="99" t="str">
        <f t="shared" si="8"/>
        <v/>
      </c>
      <c r="V26" s="99" t="str">
        <f t="shared" si="9"/>
        <v/>
      </c>
      <c r="W26" s="99" t="str">
        <f t="shared" si="10"/>
        <v/>
      </c>
      <c r="X26" s="99"/>
      <c r="Y26" s="99"/>
      <c r="Z26" s="99"/>
      <c r="AA26" s="99"/>
    </row>
    <row r="27" spans="1:27" x14ac:dyDescent="0.2">
      <c r="A27" s="84">
        <v>25</v>
      </c>
      <c r="B27" s="85" t="s">
        <v>409</v>
      </c>
      <c r="C27" s="86" t="s">
        <v>371</v>
      </c>
      <c r="D27" s="102">
        <f>COUNTIF(Escala1!E40:AH40,"HEA")</f>
        <v>0</v>
      </c>
      <c r="E27" s="102">
        <f>COUNTIF(Escala1!E40:AH40,"HEB")</f>
        <v>0</v>
      </c>
      <c r="F27" s="102">
        <f>COUNTIF(Escala1!E40:AH40,"HEC")</f>
        <v>0</v>
      </c>
      <c r="G27" s="102">
        <f>COUNTIF(Escala1!E40:AH40,"HE/A")</f>
        <v>0</v>
      </c>
      <c r="H27" s="102">
        <f>COUNTIF(Escala1!E40:AH40,"HE/B")</f>
        <v>0</v>
      </c>
      <c r="I27" s="102">
        <f>COUNTIF(Escala1!E40:AH40,"HE/C")</f>
        <v>0</v>
      </c>
      <c r="J27" s="102">
        <f>COUNTIF(Escala1!E40:AH40,"A/HE")</f>
        <v>0</v>
      </c>
      <c r="K27" s="102">
        <f>COUNTIF(Escala1!E40:AH40,"B/HE")</f>
        <v>0</v>
      </c>
      <c r="L27" s="102">
        <f>COUNTIF(Escala1!E40:AH40,"C/HE")</f>
        <v>0</v>
      </c>
      <c r="M27" s="103">
        <f t="shared" si="1"/>
        <v>0</v>
      </c>
      <c r="O27" s="99" t="str">
        <f t="shared" si="2"/>
        <v/>
      </c>
      <c r="P27" s="99" t="str">
        <f t="shared" si="3"/>
        <v/>
      </c>
      <c r="Q27" s="99" t="str">
        <f t="shared" si="4"/>
        <v/>
      </c>
      <c r="R27" s="99" t="str">
        <f t="shared" si="5"/>
        <v/>
      </c>
      <c r="S27" s="99" t="str">
        <f t="shared" si="6"/>
        <v/>
      </c>
      <c r="T27" s="99" t="str">
        <f t="shared" si="7"/>
        <v/>
      </c>
      <c r="U27" s="99" t="str">
        <f t="shared" si="8"/>
        <v/>
      </c>
      <c r="V27" s="99" t="str">
        <f t="shared" si="9"/>
        <v/>
      </c>
      <c r="W27" s="99" t="str">
        <f t="shared" si="10"/>
        <v/>
      </c>
      <c r="X27" s="99"/>
      <c r="Y27" s="99"/>
      <c r="Z27" s="99"/>
      <c r="AA27" s="99"/>
    </row>
    <row r="28" spans="1:27" x14ac:dyDescent="0.2">
      <c r="A28" s="87">
        <v>26</v>
      </c>
      <c r="B28" s="88" t="s">
        <v>410</v>
      </c>
      <c r="C28" s="89" t="s">
        <v>372</v>
      </c>
      <c r="D28" s="102">
        <f>COUNTIF(Escala1!E41:AH41,"HEA")</f>
        <v>0</v>
      </c>
      <c r="E28" s="102">
        <f>COUNTIF(Escala1!E41:AH41,"HEB")</f>
        <v>1</v>
      </c>
      <c r="F28" s="102">
        <f>COUNTIF(Escala1!E41:AH41,"HEC")</f>
        <v>0</v>
      </c>
      <c r="G28" s="102">
        <f>COUNTIF(Escala1!E41:AH41,"HE/A")</f>
        <v>0</v>
      </c>
      <c r="H28" s="102">
        <f>COUNTIF(Escala1!E41:AH41,"HE/B")</f>
        <v>0</v>
      </c>
      <c r="I28" s="102">
        <f>COUNTIF(Escala1!E41:AH41,"HE/C")</f>
        <v>0</v>
      </c>
      <c r="J28" s="102">
        <f>COUNTIF(Escala1!E41:AH41,"A/HE")</f>
        <v>0</v>
      </c>
      <c r="K28" s="102">
        <f>COUNTIF(Escala1!E41:AH41,"B/HE")</f>
        <v>0</v>
      </c>
      <c r="L28" s="102">
        <f>COUNTIF(Escala1!E41:AH41,"C/HE")</f>
        <v>0</v>
      </c>
      <c r="M28" s="103">
        <f t="shared" si="1"/>
        <v>8</v>
      </c>
      <c r="O28" s="99" t="str">
        <f t="shared" si="2"/>
        <v/>
      </c>
      <c r="P28" s="99" t="str">
        <f t="shared" si="3"/>
        <v>15 as 23</v>
      </c>
      <c r="Q28" s="99" t="str">
        <f t="shared" si="4"/>
        <v/>
      </c>
      <c r="R28" s="99" t="str">
        <f t="shared" si="5"/>
        <v/>
      </c>
      <c r="S28" s="99" t="str">
        <f t="shared" si="6"/>
        <v/>
      </c>
      <c r="T28" s="99" t="str">
        <f t="shared" si="7"/>
        <v/>
      </c>
      <c r="U28" s="99" t="str">
        <f t="shared" si="8"/>
        <v/>
      </c>
      <c r="V28" s="99" t="str">
        <f t="shared" si="9"/>
        <v/>
      </c>
      <c r="W28" s="99" t="str">
        <f t="shared" si="10"/>
        <v/>
      </c>
      <c r="X28" s="99"/>
      <c r="Y28" s="99"/>
      <c r="Z28" s="99"/>
      <c r="AA28" s="99"/>
    </row>
    <row r="29" spans="1:27" x14ac:dyDescent="0.2">
      <c r="A29" s="87">
        <v>27</v>
      </c>
      <c r="B29" s="88" t="s">
        <v>420</v>
      </c>
      <c r="C29" s="89" t="s">
        <v>373</v>
      </c>
      <c r="D29" s="102">
        <f>COUNTIF(Escala1!E42:AH42,"HEA")</f>
        <v>1</v>
      </c>
      <c r="E29" s="102">
        <f>COUNTIF(Escala1!E42:AH42,"HEB")</f>
        <v>1</v>
      </c>
      <c r="F29" s="102">
        <f>COUNTIF(Escala1!E42:AH42,"HEC")</f>
        <v>0</v>
      </c>
      <c r="G29" s="102">
        <f>COUNTIF(Escala1!E42:AH42,"HE/A")</f>
        <v>0</v>
      </c>
      <c r="H29" s="102">
        <f>COUNTIF(Escala1!E42:AH42,"HE/B")</f>
        <v>0</v>
      </c>
      <c r="I29" s="102">
        <f>COUNTIF(Escala1!E42:AH42,"HE/C")</f>
        <v>0</v>
      </c>
      <c r="J29" s="102">
        <f>COUNTIF(Escala1!E42:AH42,"A/HE")</f>
        <v>0</v>
      </c>
      <c r="K29" s="102">
        <f>COUNTIF(Escala1!E42:AH42,"B/HE")</f>
        <v>0</v>
      </c>
      <c r="L29" s="102">
        <f>COUNTIF(Escala1!E42:AH42,"C/HE")</f>
        <v>0</v>
      </c>
      <c r="M29" s="103">
        <f t="shared" si="1"/>
        <v>16</v>
      </c>
      <c r="O29" s="99" t="str">
        <f t="shared" si="2"/>
        <v>7 as 15</v>
      </c>
      <c r="P29" s="99" t="str">
        <f t="shared" si="3"/>
        <v>15 as 23</v>
      </c>
      <c r="Q29" s="99" t="str">
        <f t="shared" si="4"/>
        <v/>
      </c>
      <c r="R29" s="99" t="str">
        <f t="shared" si="5"/>
        <v/>
      </c>
      <c r="S29" s="99" t="str">
        <f t="shared" si="6"/>
        <v/>
      </c>
      <c r="T29" s="99" t="str">
        <f t="shared" si="7"/>
        <v/>
      </c>
      <c r="U29" s="99" t="str">
        <f t="shared" si="8"/>
        <v/>
      </c>
      <c r="V29" s="99" t="str">
        <f t="shared" si="9"/>
        <v/>
      </c>
      <c r="W29" s="99" t="str">
        <f t="shared" si="10"/>
        <v/>
      </c>
      <c r="X29" s="99"/>
      <c r="Y29" s="99"/>
      <c r="Z29" s="99"/>
      <c r="AA29" s="99"/>
    </row>
    <row r="30" spans="1:27" x14ac:dyDescent="0.2">
      <c r="A30" s="87">
        <v>28</v>
      </c>
      <c r="B30" s="88" t="s">
        <v>374</v>
      </c>
      <c r="C30" s="89" t="s">
        <v>375</v>
      </c>
      <c r="D30" s="102">
        <f>COUNTIF(Escala1!E43:AH43,"HEA")</f>
        <v>0</v>
      </c>
      <c r="E30" s="102">
        <f>COUNTIF(Escala1!E43:AH43,"HEB")</f>
        <v>0</v>
      </c>
      <c r="F30" s="102">
        <f>COUNTIF(Escala1!E43:AH43,"HEC")</f>
        <v>0</v>
      </c>
      <c r="G30" s="102">
        <f>COUNTIF(Escala1!E43:AH43,"HE/A")</f>
        <v>0</v>
      </c>
      <c r="H30" s="102">
        <f>COUNTIF(Escala1!E43:AH43,"HE/B")</f>
        <v>1</v>
      </c>
      <c r="I30" s="102">
        <f>COUNTIF(Escala1!E43:AH43,"HE/C")</f>
        <v>0</v>
      </c>
      <c r="J30" s="102">
        <f>COUNTIF(Escala1!E43:AH43,"A/HE")</f>
        <v>0</v>
      </c>
      <c r="K30" s="102">
        <f>COUNTIF(Escala1!E43:AH43,"B/HE")</f>
        <v>0</v>
      </c>
      <c r="L30" s="102">
        <f>COUNTIF(Escala1!E43:AH43,"C/HE")</f>
        <v>1</v>
      </c>
      <c r="M30" s="103">
        <f t="shared" si="1"/>
        <v>8</v>
      </c>
      <c r="O30" s="99" t="str">
        <f t="shared" si="2"/>
        <v/>
      </c>
      <c r="P30" s="99" t="str">
        <f t="shared" si="3"/>
        <v/>
      </c>
      <c r="Q30" s="99" t="str">
        <f t="shared" si="4"/>
        <v/>
      </c>
      <c r="R30" s="99" t="str">
        <f t="shared" si="5"/>
        <v/>
      </c>
      <c r="S30" s="99" t="str">
        <f t="shared" si="6"/>
        <v>11 as 15</v>
      </c>
      <c r="T30" s="99" t="str">
        <f t="shared" si="7"/>
        <v/>
      </c>
      <c r="U30" s="99" t="str">
        <f t="shared" si="8"/>
        <v/>
      </c>
      <c r="V30" s="99" t="str">
        <f t="shared" si="9"/>
        <v/>
      </c>
      <c r="W30" s="99" t="str">
        <f t="shared" si="10"/>
        <v>7 as 11</v>
      </c>
      <c r="X30" s="99"/>
      <c r="Y30" s="99"/>
      <c r="Z30" s="99"/>
      <c r="AA30" s="99"/>
    </row>
    <row r="31" spans="1:27" x14ac:dyDescent="0.2">
      <c r="A31" s="87">
        <v>29</v>
      </c>
      <c r="B31" s="88" t="s">
        <v>425</v>
      </c>
      <c r="C31" s="89" t="s">
        <v>402</v>
      </c>
      <c r="D31" s="102">
        <f>COUNTIF(Escala1!E44:AH44,"HEA")</f>
        <v>0</v>
      </c>
      <c r="E31" s="102">
        <f>COUNTIF(Escala1!E44:AH44,"HEB")</f>
        <v>0</v>
      </c>
      <c r="F31" s="102">
        <f>COUNTIF(Escala1!E44:AH44,"HEC")</f>
        <v>0</v>
      </c>
      <c r="G31" s="102">
        <f>COUNTIF(Escala1!E44:AH44,"HE/A")</f>
        <v>0</v>
      </c>
      <c r="H31" s="102">
        <f>COUNTIF(Escala1!E44:AH44,"HE/B")</f>
        <v>1</v>
      </c>
      <c r="I31" s="102">
        <f>COUNTIF(Escala1!E44:AH44,"HE/C")</f>
        <v>0</v>
      </c>
      <c r="J31" s="102">
        <f>COUNTIF(Escala1!E44:AH44,"A/HE")</f>
        <v>0</v>
      </c>
      <c r="K31" s="102">
        <f>COUNTIF(Escala1!E44:AH44,"B/HE")</f>
        <v>0</v>
      </c>
      <c r="L31" s="102">
        <f>COUNTIF(Escala1!E44:AH44,"C/HE")</f>
        <v>0</v>
      </c>
      <c r="M31" s="103">
        <f t="shared" si="1"/>
        <v>4</v>
      </c>
      <c r="O31" s="99" t="str">
        <f t="shared" si="2"/>
        <v/>
      </c>
      <c r="P31" s="99" t="str">
        <f t="shared" si="3"/>
        <v/>
      </c>
      <c r="Q31" s="99" t="str">
        <f t="shared" si="4"/>
        <v/>
      </c>
      <c r="R31" s="99" t="str">
        <f t="shared" si="5"/>
        <v/>
      </c>
      <c r="S31" s="99" t="str">
        <f t="shared" si="6"/>
        <v>11 as 15</v>
      </c>
      <c r="T31" s="99" t="str">
        <f t="shared" si="7"/>
        <v/>
      </c>
      <c r="U31" s="99" t="str">
        <f t="shared" si="8"/>
        <v/>
      </c>
      <c r="V31" s="99" t="str">
        <f t="shared" si="9"/>
        <v/>
      </c>
      <c r="W31" s="99" t="str">
        <f t="shared" si="10"/>
        <v/>
      </c>
      <c r="X31" s="99"/>
      <c r="Y31" s="99"/>
      <c r="Z31" s="99"/>
      <c r="AA31" s="99"/>
    </row>
    <row r="32" spans="1:27" x14ac:dyDescent="0.2">
      <c r="A32" s="87">
        <v>30</v>
      </c>
      <c r="B32" s="88" t="s">
        <v>385</v>
      </c>
      <c r="C32" s="89" t="s">
        <v>377</v>
      </c>
      <c r="D32" s="102">
        <f>COUNTIF(Escala1!E45:AH45,"HEA")</f>
        <v>1</v>
      </c>
      <c r="E32" s="102">
        <f>COUNTIF(Escala1!E45:AH45,"HEB")</f>
        <v>0</v>
      </c>
      <c r="F32" s="102">
        <f>COUNTIF(Escala1!E45:AH45,"HEC")</f>
        <v>0</v>
      </c>
      <c r="G32" s="102">
        <f>COUNTIF(Escala1!E45:AH45,"HE/A")</f>
        <v>0</v>
      </c>
      <c r="H32" s="102">
        <f>COUNTIF(Escala1!E45:AH45,"HE/B")</f>
        <v>0</v>
      </c>
      <c r="I32" s="102">
        <f>COUNTIF(Escala1!E45:AH45,"HE/C")</f>
        <v>0</v>
      </c>
      <c r="J32" s="102">
        <f>COUNTIF(Escala1!E45:AH45,"A/HE")</f>
        <v>0</v>
      </c>
      <c r="K32" s="102">
        <f>COUNTIF(Escala1!E45:AH45,"B/HE")</f>
        <v>0</v>
      </c>
      <c r="L32" s="102">
        <f>COUNTIF(Escala1!E45:AH45,"C/HE")</f>
        <v>0</v>
      </c>
      <c r="M32" s="103">
        <f t="shared" si="1"/>
        <v>8</v>
      </c>
      <c r="O32" s="99" t="str">
        <f t="shared" si="2"/>
        <v>7 as 15</v>
      </c>
      <c r="P32" s="99" t="str">
        <f t="shared" si="3"/>
        <v/>
      </c>
      <c r="Q32" s="99" t="str">
        <f t="shared" si="4"/>
        <v/>
      </c>
      <c r="R32" s="99" t="str">
        <f t="shared" si="5"/>
        <v/>
      </c>
      <c r="S32" s="99" t="str">
        <f t="shared" si="6"/>
        <v/>
      </c>
      <c r="T32" s="99" t="str">
        <f t="shared" si="7"/>
        <v/>
      </c>
      <c r="U32" s="99" t="str">
        <f t="shared" si="8"/>
        <v/>
      </c>
      <c r="V32" s="99" t="str">
        <f t="shared" si="9"/>
        <v/>
      </c>
      <c r="W32" s="99" t="str">
        <f t="shared" si="10"/>
        <v/>
      </c>
      <c r="X32" s="99"/>
      <c r="Y32" s="99"/>
      <c r="Z32" s="99"/>
      <c r="AA32" s="99"/>
    </row>
    <row r="33" spans="1:27" x14ac:dyDescent="0.2">
      <c r="A33" s="87">
        <v>31</v>
      </c>
      <c r="B33" s="88" t="s">
        <v>378</v>
      </c>
      <c r="C33" s="89" t="s">
        <v>379</v>
      </c>
      <c r="D33" s="102">
        <f>COUNTIF(Escala1!E46:AH46,"HEA")</f>
        <v>0</v>
      </c>
      <c r="E33" s="102">
        <f>COUNTIF(Escala1!E46:AH46,"HEB")</f>
        <v>0</v>
      </c>
      <c r="F33" s="102">
        <f>COUNTIF(Escala1!E46:AH46,"HEC")</f>
        <v>0</v>
      </c>
      <c r="G33" s="102">
        <f>COUNTIF(Escala1!E46:AH46,"HE/A")</f>
        <v>0</v>
      </c>
      <c r="H33" s="102">
        <f>COUNTIF(Escala1!E46:AH46,"HE/B")</f>
        <v>0</v>
      </c>
      <c r="I33" s="102">
        <f>COUNTIF(Escala1!E46:AH46,"HE/C")</f>
        <v>0</v>
      </c>
      <c r="J33" s="102">
        <f>COUNTIF(Escala1!E46:AH46,"A/HE")</f>
        <v>0</v>
      </c>
      <c r="K33" s="102">
        <f>COUNTIF(Escala1!E46:AH46,"B/HE")</f>
        <v>0</v>
      </c>
      <c r="L33" s="102">
        <f>COUNTIF(Escala1!E46:AH46,"C/HE")</f>
        <v>0</v>
      </c>
      <c r="M33" s="103">
        <f t="shared" si="1"/>
        <v>0</v>
      </c>
      <c r="O33" s="99" t="str">
        <f t="shared" si="2"/>
        <v/>
      </c>
      <c r="P33" s="99" t="str">
        <f t="shared" si="3"/>
        <v/>
      </c>
      <c r="Q33" s="99" t="str">
        <f t="shared" si="4"/>
        <v/>
      </c>
      <c r="R33" s="99" t="str">
        <f t="shared" si="5"/>
        <v/>
      </c>
      <c r="S33" s="99" t="str">
        <f t="shared" si="6"/>
        <v/>
      </c>
      <c r="T33" s="99" t="str">
        <f t="shared" si="7"/>
        <v/>
      </c>
      <c r="U33" s="99" t="str">
        <f t="shared" si="8"/>
        <v/>
      </c>
      <c r="V33" s="99" t="str">
        <f t="shared" si="9"/>
        <v/>
      </c>
      <c r="W33" s="99" t="str">
        <f t="shared" si="10"/>
        <v/>
      </c>
      <c r="X33" s="99"/>
      <c r="Y33" s="99"/>
      <c r="Z33" s="99"/>
      <c r="AA33" s="99"/>
    </row>
    <row r="34" spans="1:27" x14ac:dyDescent="0.2">
      <c r="A34" s="90">
        <v>32</v>
      </c>
      <c r="B34" s="91" t="s">
        <v>365</v>
      </c>
      <c r="C34" s="92" t="s">
        <v>366</v>
      </c>
      <c r="D34" s="102">
        <f>COUNTIF(Escala1!E47:AH47,"HEA")</f>
        <v>0</v>
      </c>
      <c r="E34" s="102">
        <f>COUNTIF(Escala1!E47:AH47,"HEB")</f>
        <v>0</v>
      </c>
      <c r="F34" s="102">
        <f>COUNTIF(Escala1!E47:AH47,"HEC")</f>
        <v>0</v>
      </c>
      <c r="G34" s="102">
        <f>COUNTIF(Escala1!E47:AH47,"HE/A")</f>
        <v>0</v>
      </c>
      <c r="H34" s="102">
        <f>COUNTIF(Escala1!E47:AH47,"HE/B")</f>
        <v>0</v>
      </c>
      <c r="I34" s="102">
        <f>COUNTIF(Escala1!E47:AH47,"HE/C")</f>
        <v>0</v>
      </c>
      <c r="J34" s="102">
        <f>COUNTIF(Escala1!E47:AH47,"A/HE")</f>
        <v>0</v>
      </c>
      <c r="K34" s="102">
        <f>COUNTIF(Escala1!E47:AH47,"B/HE")</f>
        <v>0</v>
      </c>
      <c r="L34" s="102">
        <f>COUNTIF(Escala1!E47:AH47,"C/HE")</f>
        <v>0</v>
      </c>
      <c r="M34" s="103">
        <f t="shared" si="1"/>
        <v>0</v>
      </c>
      <c r="O34" s="99" t="str">
        <f t="shared" si="2"/>
        <v/>
      </c>
      <c r="P34" s="99" t="str">
        <f t="shared" si="3"/>
        <v/>
      </c>
      <c r="Q34" s="99" t="str">
        <f t="shared" si="4"/>
        <v/>
      </c>
      <c r="R34" s="99" t="str">
        <f t="shared" si="5"/>
        <v/>
      </c>
      <c r="S34" s="99" t="str">
        <f t="shared" si="6"/>
        <v/>
      </c>
      <c r="T34" s="99" t="str">
        <f t="shared" si="7"/>
        <v/>
      </c>
      <c r="U34" s="99" t="str">
        <f t="shared" si="8"/>
        <v/>
      </c>
      <c r="V34" s="99" t="str">
        <f t="shared" si="9"/>
        <v/>
      </c>
      <c r="W34" s="99" t="str">
        <f t="shared" si="10"/>
        <v/>
      </c>
      <c r="X34" s="99"/>
      <c r="Y34" s="99"/>
      <c r="Z34" s="99"/>
      <c r="AA34" s="99"/>
    </row>
    <row r="35" spans="1:27" x14ac:dyDescent="0.2">
      <c r="A35" s="93">
        <v>33</v>
      </c>
      <c r="B35" s="94" t="s">
        <v>395</v>
      </c>
      <c r="C35" s="95" t="s">
        <v>397</v>
      </c>
      <c r="D35" s="102">
        <f>COUNTIF(Escala1!E48:AH48,"HEA")</f>
        <v>0</v>
      </c>
      <c r="E35" s="102">
        <f>COUNTIF(Escala1!E48:AH48,"HEB")</f>
        <v>0</v>
      </c>
      <c r="F35" s="102">
        <f>COUNTIF(Escala1!E48:AH48,"HEC")</f>
        <v>0</v>
      </c>
      <c r="G35" s="102">
        <f>COUNTIF(Escala1!E48:AH48,"HE/A")</f>
        <v>0</v>
      </c>
      <c r="H35" s="102">
        <f>COUNTIF(Escala1!E48:AH48,"HE/B")</f>
        <v>0</v>
      </c>
      <c r="I35" s="102">
        <f>COUNTIF(Escala1!E48:AH48,"HE/C")</f>
        <v>0</v>
      </c>
      <c r="J35" s="102">
        <f>COUNTIF(Escala1!E48:AH48,"A/HE")</f>
        <v>0</v>
      </c>
      <c r="K35" s="102">
        <f>COUNTIF(Escala1!E48:AH48,"B/HE")</f>
        <v>0</v>
      </c>
      <c r="L35" s="102">
        <f>COUNTIF(Escala1!E48:AH48,"C/HE")</f>
        <v>0</v>
      </c>
      <c r="M35" s="103">
        <f t="shared" si="1"/>
        <v>0</v>
      </c>
      <c r="O35" s="99" t="str">
        <f t="shared" si="2"/>
        <v/>
      </c>
      <c r="P35" s="99" t="str">
        <f t="shared" si="3"/>
        <v/>
      </c>
      <c r="Q35" s="99" t="str">
        <f t="shared" si="4"/>
        <v/>
      </c>
      <c r="R35" s="99" t="str">
        <f t="shared" si="5"/>
        <v/>
      </c>
      <c r="S35" s="99" t="str">
        <f t="shared" si="6"/>
        <v/>
      </c>
      <c r="T35" s="99" t="str">
        <f t="shared" si="7"/>
        <v/>
      </c>
      <c r="U35" s="99" t="str">
        <f t="shared" si="8"/>
        <v/>
      </c>
      <c r="V35" s="99" t="str">
        <f t="shared" si="9"/>
        <v/>
      </c>
      <c r="W35" s="99" t="str">
        <f t="shared" si="10"/>
        <v/>
      </c>
      <c r="X35" s="99"/>
      <c r="Y35" s="99"/>
      <c r="Z35" s="99"/>
      <c r="AA35" s="99"/>
    </row>
    <row r="36" spans="1:27" x14ac:dyDescent="0.2">
      <c r="A36" s="93">
        <v>34</v>
      </c>
      <c r="B36" s="94" t="s">
        <v>421</v>
      </c>
      <c r="C36" s="95" t="s">
        <v>380</v>
      </c>
      <c r="D36" s="102">
        <f>COUNTIF(Escala1!E49:AH49,"HEA")</f>
        <v>0</v>
      </c>
      <c r="E36" s="102">
        <f>COUNTIF(Escala1!E49:AH49,"HEB")</f>
        <v>0</v>
      </c>
      <c r="F36" s="102">
        <f>COUNTIF(Escala1!E49:AH49,"HEC")</f>
        <v>0</v>
      </c>
      <c r="G36" s="102">
        <f>COUNTIF(Escala1!E49:AH49,"HE/A")</f>
        <v>0</v>
      </c>
      <c r="H36" s="102">
        <f>COUNTIF(Escala1!E49:AH49,"HE/B")</f>
        <v>0</v>
      </c>
      <c r="I36" s="102">
        <f>COUNTIF(Escala1!E49:AH49,"HE/C")</f>
        <v>0</v>
      </c>
      <c r="J36" s="102">
        <f>COUNTIF(Escala1!E49:AH49,"A/HE")</f>
        <v>0</v>
      </c>
      <c r="K36" s="102">
        <f>COUNTIF(Escala1!E49:AH49,"B/HE")</f>
        <v>0</v>
      </c>
      <c r="L36" s="102">
        <f>COUNTIF(Escala1!E49:AH49,"C/HE")</f>
        <v>0</v>
      </c>
      <c r="M36" s="103">
        <f t="shared" si="1"/>
        <v>0</v>
      </c>
      <c r="O36" s="99" t="str">
        <f t="shared" si="2"/>
        <v/>
      </c>
      <c r="P36" s="99" t="str">
        <f t="shared" si="3"/>
        <v/>
      </c>
      <c r="Q36" s="99" t="str">
        <f t="shared" si="4"/>
        <v/>
      </c>
      <c r="R36" s="99" t="str">
        <f t="shared" si="5"/>
        <v/>
      </c>
      <c r="S36" s="99" t="str">
        <f t="shared" si="6"/>
        <v/>
      </c>
      <c r="T36" s="99" t="str">
        <f t="shared" si="7"/>
        <v/>
      </c>
      <c r="U36" s="99" t="str">
        <f t="shared" si="8"/>
        <v/>
      </c>
      <c r="V36" s="99" t="str">
        <f t="shared" si="9"/>
        <v/>
      </c>
      <c r="W36" s="99" t="str">
        <f t="shared" si="10"/>
        <v/>
      </c>
      <c r="X36" s="99"/>
      <c r="Y36" s="99"/>
      <c r="Z36" s="99"/>
      <c r="AA36" s="99"/>
    </row>
  </sheetData>
  <mergeCells count="1">
    <mergeCell ref="M1:M2"/>
  </mergeCells>
  <conditionalFormatting sqref="D3:L36">
    <cfRule type="cellIs" dxfId="2" priority="1" operator="between">
      <formula>3</formula>
      <formula>3</formula>
    </cfRule>
    <cfRule type="cellIs" dxfId="1" priority="4" operator="between">
      <formula>1</formula>
      <formula>1</formula>
    </cfRule>
  </conditionalFormatting>
  <conditionalFormatting sqref="D4:K34 D3:L3 J4:L36">
    <cfRule type="cellIs" dxfId="0" priority="3" operator="between">
      <formula>2</formula>
      <formula>2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"/>
  <dimension ref="A1:G106"/>
  <sheetViews>
    <sheetView showWhiteSpace="0" view="pageLayout" zoomScaleNormal="100" workbookViewId="0">
      <selection activeCell="A3" sqref="A3"/>
    </sheetView>
  </sheetViews>
  <sheetFormatPr defaultColWidth="9" defaultRowHeight="12.75" x14ac:dyDescent="0.2"/>
  <cols>
    <col min="1" max="1" width="8.28515625" bestFit="1" customWidth="1"/>
    <col min="2" max="2" width="41" customWidth="1"/>
    <col min="3" max="3" width="9.5703125" customWidth="1"/>
    <col min="4" max="4" width="12.5703125" customWidth="1"/>
    <col min="5" max="5" width="8.5703125" customWidth="1"/>
  </cols>
  <sheetData>
    <row r="1" spans="1:7" ht="15.75" customHeight="1" x14ac:dyDescent="0.2">
      <c r="A1" s="112" t="s">
        <v>487</v>
      </c>
      <c r="G1" s="113"/>
    </row>
    <row r="2" spans="1:7" ht="15.75" customHeight="1" x14ac:dyDescent="0.2">
      <c r="B2" s="114"/>
      <c r="G2" s="113"/>
    </row>
    <row r="3" spans="1:7" ht="15.75" customHeight="1" x14ac:dyDescent="0.2">
      <c r="A3" s="112"/>
      <c r="G3" s="113"/>
    </row>
    <row r="4" spans="1:7" ht="15.75" customHeight="1" x14ac:dyDescent="0.2">
      <c r="A4" s="112"/>
      <c r="G4" s="113"/>
    </row>
    <row r="5" spans="1:7" ht="12.75" customHeight="1" x14ac:dyDescent="0.2">
      <c r="A5" s="205" t="s">
        <v>488</v>
      </c>
      <c r="B5" s="205"/>
      <c r="C5" s="205"/>
      <c r="D5" s="205"/>
      <c r="E5" s="205"/>
    </row>
    <row r="6" spans="1:7" ht="12.75" customHeight="1" x14ac:dyDescent="0.2">
      <c r="A6" s="205" t="s">
        <v>489</v>
      </c>
      <c r="B6" s="205"/>
      <c r="C6" s="205"/>
      <c r="D6" s="205"/>
      <c r="E6" s="205"/>
    </row>
    <row r="7" spans="1:7" ht="12.75" customHeight="1" x14ac:dyDescent="0.2">
      <c r="A7" s="204"/>
      <c r="B7" s="204"/>
      <c r="C7" s="204"/>
      <c r="D7" s="204"/>
      <c r="E7" s="204"/>
    </row>
    <row r="8" spans="1:7" ht="12.75" customHeight="1" x14ac:dyDescent="0.2">
      <c r="A8" s="204"/>
      <c r="B8" s="204"/>
      <c r="C8" s="204"/>
      <c r="D8" s="204"/>
      <c r="E8" s="204"/>
    </row>
    <row r="9" spans="1:7" ht="12.75" customHeight="1" x14ac:dyDescent="0.2">
      <c r="A9" s="206" t="s">
        <v>490</v>
      </c>
      <c r="B9" s="206"/>
      <c r="C9" s="206"/>
      <c r="D9" s="206"/>
      <c r="E9" s="206"/>
    </row>
    <row r="10" spans="1:7" ht="12.75" customHeight="1" x14ac:dyDescent="0.2">
      <c r="A10" s="204"/>
      <c r="B10" s="204"/>
      <c r="C10" s="204"/>
      <c r="D10" s="204"/>
      <c r="E10" s="204"/>
    </row>
    <row r="11" spans="1:7" ht="12.75" customHeight="1" x14ac:dyDescent="0.2">
      <c r="A11" s="204"/>
      <c r="B11" s="204"/>
      <c r="C11" s="204"/>
      <c r="D11" s="204"/>
      <c r="E11" s="204"/>
    </row>
    <row r="12" spans="1:7" ht="12.75" customHeight="1" x14ac:dyDescent="0.2">
      <c r="A12" s="205" t="s">
        <v>491</v>
      </c>
      <c r="B12" s="205"/>
      <c r="C12" s="205"/>
      <c r="D12" s="205"/>
      <c r="E12" s="205"/>
    </row>
    <row r="13" spans="1:7" ht="12.75" customHeight="1" x14ac:dyDescent="0.2">
      <c r="A13" s="204"/>
      <c r="B13" s="204"/>
      <c r="C13" s="204"/>
      <c r="D13" s="204"/>
      <c r="E13" s="204"/>
    </row>
    <row r="14" spans="1:7" ht="12.75" customHeight="1" x14ac:dyDescent="0.25">
      <c r="A14" s="207" t="s">
        <v>492</v>
      </c>
      <c r="B14" s="207"/>
      <c r="C14" s="207"/>
      <c r="D14" s="207"/>
      <c r="E14" s="207"/>
    </row>
    <row r="15" spans="1:7" ht="12.75" customHeight="1" x14ac:dyDescent="0.2">
      <c r="A15" s="203" t="s">
        <v>493</v>
      </c>
      <c r="B15" s="203"/>
      <c r="C15" s="203"/>
      <c r="D15" s="203"/>
      <c r="E15" s="203"/>
    </row>
    <row r="16" spans="1:7" ht="12.75" customHeight="1" x14ac:dyDescent="0.2">
      <c r="A16" s="203"/>
      <c r="B16" s="203"/>
      <c r="C16" s="203"/>
      <c r="D16" s="203"/>
      <c r="E16" s="203"/>
    </row>
    <row r="17" spans="1:5" ht="12.75" customHeight="1" x14ac:dyDescent="0.2">
      <c r="A17" s="203"/>
      <c r="B17" s="203"/>
      <c r="C17" s="203"/>
      <c r="D17" s="203"/>
      <c r="E17" s="203"/>
    </row>
    <row r="18" spans="1:5" ht="12.75" customHeight="1" x14ac:dyDescent="0.2">
      <c r="A18" s="203" t="s">
        <v>494</v>
      </c>
      <c r="B18" s="203"/>
      <c r="C18" s="203"/>
      <c r="D18" s="203"/>
      <c r="E18" s="203"/>
    </row>
    <row r="19" spans="1:5" x14ac:dyDescent="0.2">
      <c r="A19" s="203"/>
      <c r="B19" s="203"/>
      <c r="C19" s="203"/>
      <c r="D19" s="203"/>
      <c r="E19" s="203"/>
    </row>
    <row r="20" spans="1:5" ht="12.75" customHeight="1" x14ac:dyDescent="0.2">
      <c r="A20" s="202" t="s">
        <v>495</v>
      </c>
      <c r="B20" s="202"/>
      <c r="C20" s="202"/>
      <c r="D20" s="202"/>
      <c r="E20" s="202"/>
    </row>
    <row r="21" spans="1:5" ht="15.75" customHeight="1" x14ac:dyDescent="0.2">
      <c r="A21" s="197" t="s">
        <v>496</v>
      </c>
      <c r="B21" s="197"/>
      <c r="C21" s="197"/>
      <c r="D21" s="197"/>
      <c r="E21" s="197"/>
    </row>
    <row r="22" spans="1:5" ht="15.75" customHeight="1" x14ac:dyDescent="0.2">
      <c r="A22" s="197" t="s">
        <v>497</v>
      </c>
      <c r="B22" s="197"/>
      <c r="C22" s="197"/>
      <c r="D22" s="197"/>
      <c r="E22" s="197"/>
    </row>
    <row r="23" spans="1:5" ht="12.75" customHeight="1" x14ac:dyDescent="0.2">
      <c r="A23" s="203" t="s">
        <v>498</v>
      </c>
      <c r="B23" s="203"/>
      <c r="C23" s="203"/>
      <c r="D23" s="203"/>
      <c r="E23" s="203"/>
    </row>
    <row r="24" spans="1:5" ht="12.75" customHeight="1" x14ac:dyDescent="0.2">
      <c r="A24" s="203"/>
      <c r="B24" s="203"/>
      <c r="C24" s="203"/>
      <c r="D24" s="203"/>
      <c r="E24" s="203"/>
    </row>
    <row r="25" spans="1:5" ht="12.75" customHeight="1" x14ac:dyDescent="0.2">
      <c r="A25" s="203"/>
      <c r="B25" s="203"/>
      <c r="C25" s="203"/>
      <c r="D25" s="203"/>
      <c r="E25" s="203"/>
    </row>
    <row r="26" spans="1:5" ht="12.75" customHeight="1" x14ac:dyDescent="0.2">
      <c r="A26" s="204"/>
      <c r="B26" s="204"/>
      <c r="C26" s="204"/>
      <c r="D26" s="204"/>
      <c r="E26" s="204"/>
    </row>
    <row r="27" spans="1:5" ht="12.75" customHeight="1" x14ac:dyDescent="0.2">
      <c r="A27" s="197" t="s">
        <v>499</v>
      </c>
      <c r="B27" s="197"/>
      <c r="C27" s="197"/>
      <c r="D27" s="197"/>
      <c r="E27" s="197"/>
    </row>
    <row r="28" spans="1:5" ht="13.5" customHeight="1" x14ac:dyDescent="0.2">
      <c r="A28" s="198"/>
      <c r="B28" s="198"/>
      <c r="C28" s="198"/>
      <c r="D28" s="198"/>
      <c r="E28" s="198"/>
    </row>
    <row r="29" spans="1:5" x14ac:dyDescent="0.2">
      <c r="A29" s="115" t="s">
        <v>445</v>
      </c>
      <c r="B29" s="115" t="s">
        <v>444</v>
      </c>
      <c r="C29" s="115" t="s">
        <v>446</v>
      </c>
      <c r="D29" s="115" t="s">
        <v>500</v>
      </c>
      <c r="E29" s="115" t="s">
        <v>501</v>
      </c>
    </row>
    <row r="30" spans="1:5" ht="13.5" customHeight="1" x14ac:dyDescent="0.2">
      <c r="A30" s="124"/>
      <c r="B30" s="116"/>
      <c r="C30" s="116"/>
      <c r="D30" s="116"/>
      <c r="E30" s="116"/>
    </row>
    <row r="31" spans="1:5" x14ac:dyDescent="0.2">
      <c r="A31" s="124"/>
      <c r="B31" s="116"/>
      <c r="C31" s="116"/>
      <c r="D31" s="116"/>
      <c r="E31" s="117"/>
    </row>
    <row r="32" spans="1:5" x14ac:dyDescent="0.2">
      <c r="A32" s="124"/>
      <c r="B32" s="116"/>
      <c r="C32" s="116"/>
      <c r="D32" s="116"/>
      <c r="E32" s="117"/>
    </row>
    <row r="33" spans="1:5" x14ac:dyDescent="0.2">
      <c r="A33" s="124"/>
      <c r="B33" s="116"/>
      <c r="C33" s="116"/>
      <c r="D33" s="116"/>
      <c r="E33" s="117"/>
    </row>
    <row r="34" spans="1:5" x14ac:dyDescent="0.2">
      <c r="A34" s="124"/>
      <c r="B34" s="116"/>
      <c r="C34" s="116"/>
      <c r="D34" s="116"/>
      <c r="E34" s="117"/>
    </row>
    <row r="35" spans="1:5" x14ac:dyDescent="0.2">
      <c r="A35" s="124"/>
      <c r="B35" s="116"/>
      <c r="C35" s="116"/>
      <c r="D35" s="116"/>
      <c r="E35" s="117"/>
    </row>
    <row r="36" spans="1:5" x14ac:dyDescent="0.2">
      <c r="A36" s="124"/>
      <c r="B36" s="116"/>
      <c r="C36" s="116"/>
      <c r="D36" s="116"/>
      <c r="E36" s="117"/>
    </row>
    <row r="37" spans="1:5" x14ac:dyDescent="0.2">
      <c r="A37" s="124"/>
      <c r="B37" s="116"/>
      <c r="C37" s="116"/>
      <c r="D37" s="116"/>
      <c r="E37" s="117"/>
    </row>
    <row r="38" spans="1:5" x14ac:dyDescent="0.2">
      <c r="A38" s="124"/>
      <c r="B38" s="116"/>
      <c r="C38" s="116"/>
      <c r="D38" s="116"/>
      <c r="E38" s="117"/>
    </row>
    <row r="39" spans="1:5" x14ac:dyDescent="0.2">
      <c r="A39" s="124"/>
      <c r="B39" s="116"/>
      <c r="C39" s="116"/>
      <c r="D39" s="116"/>
      <c r="E39" s="117"/>
    </row>
    <row r="40" spans="1:5" x14ac:dyDescent="0.2">
      <c r="A40" s="124"/>
      <c r="B40" s="116"/>
      <c r="C40" s="116"/>
      <c r="D40" s="116"/>
      <c r="E40" s="117"/>
    </row>
    <row r="41" spans="1:5" x14ac:dyDescent="0.2">
      <c r="A41" s="124"/>
      <c r="B41" s="116"/>
      <c r="C41" s="116"/>
      <c r="D41" s="116"/>
      <c r="E41" s="117"/>
    </row>
    <row r="42" spans="1:5" x14ac:dyDescent="0.2">
      <c r="A42" s="124"/>
      <c r="B42" s="116"/>
      <c r="C42" s="116"/>
      <c r="D42" s="116"/>
      <c r="E42" s="117"/>
    </row>
    <row r="43" spans="1:5" x14ac:dyDescent="0.2">
      <c r="A43" s="124"/>
      <c r="B43" s="116"/>
      <c r="C43" s="116"/>
      <c r="D43" s="116"/>
      <c r="E43" s="117"/>
    </row>
    <row r="44" spans="1:5" x14ac:dyDescent="0.2">
      <c r="A44" s="124"/>
      <c r="B44" s="116"/>
      <c r="C44" s="116"/>
      <c r="D44" s="116"/>
      <c r="E44" s="117"/>
    </row>
    <row r="45" spans="1:5" x14ac:dyDescent="0.2">
      <c r="A45" s="117"/>
      <c r="B45" s="116"/>
      <c r="C45" s="116"/>
      <c r="D45" s="116"/>
      <c r="E45" s="117"/>
    </row>
    <row r="46" spans="1:5" x14ac:dyDescent="0.2">
      <c r="A46" s="117"/>
      <c r="B46" s="116"/>
      <c r="C46" s="116"/>
      <c r="D46" s="125"/>
      <c r="E46" s="117"/>
    </row>
    <row r="47" spans="1:5" x14ac:dyDescent="0.2">
      <c r="A47" s="124"/>
      <c r="B47" s="116"/>
      <c r="C47" s="116"/>
      <c r="D47" s="116"/>
      <c r="E47" s="117"/>
    </row>
    <row r="48" spans="1:5" x14ac:dyDescent="0.2">
      <c r="A48" s="117"/>
      <c r="B48" s="116"/>
      <c r="C48" s="116"/>
      <c r="D48" s="116"/>
      <c r="E48" s="117"/>
    </row>
    <row r="49" spans="1:5" x14ac:dyDescent="0.2">
      <c r="A49" s="117"/>
      <c r="B49" s="116"/>
      <c r="C49" s="116"/>
      <c r="D49" s="116"/>
      <c r="E49" s="117"/>
    </row>
    <row r="50" spans="1:5" x14ac:dyDescent="0.2">
      <c r="A50" s="117"/>
      <c r="B50" s="116"/>
      <c r="C50" s="116"/>
      <c r="D50" s="116"/>
      <c r="E50" s="117"/>
    </row>
    <row r="51" spans="1:5" x14ac:dyDescent="0.2">
      <c r="A51" s="124"/>
      <c r="B51" s="116"/>
      <c r="C51" s="116"/>
      <c r="D51" s="116"/>
      <c r="E51" s="118"/>
    </row>
    <row r="52" spans="1:5" x14ac:dyDescent="0.2">
      <c r="A52" s="124"/>
      <c r="B52" s="116"/>
      <c r="C52" s="116"/>
      <c r="D52" s="116"/>
      <c r="E52" s="119"/>
    </row>
    <row r="53" spans="1:5" x14ac:dyDescent="0.2">
      <c r="A53" s="124"/>
      <c r="B53" s="116"/>
      <c r="C53" s="116"/>
      <c r="D53" s="116"/>
      <c r="E53" s="119"/>
    </row>
    <row r="54" spans="1:5" x14ac:dyDescent="0.2">
      <c r="A54" s="124"/>
      <c r="B54" s="116"/>
      <c r="C54" s="116"/>
      <c r="D54" s="125"/>
      <c r="E54" s="119"/>
    </row>
    <row r="55" spans="1:5" x14ac:dyDescent="0.2">
      <c r="A55" s="117"/>
      <c r="B55" s="116"/>
      <c r="C55" s="116"/>
      <c r="D55" s="125"/>
      <c r="E55" s="119"/>
    </row>
    <row r="56" spans="1:5" x14ac:dyDescent="0.2">
      <c r="A56" s="124"/>
      <c r="B56" s="116"/>
      <c r="C56" s="116"/>
      <c r="D56" s="116"/>
      <c r="E56" s="119"/>
    </row>
    <row r="57" spans="1:5" x14ac:dyDescent="0.2">
      <c r="A57" s="124"/>
      <c r="B57" s="116"/>
      <c r="C57" s="116"/>
      <c r="D57" s="116"/>
      <c r="E57" s="120"/>
    </row>
    <row r="58" spans="1:5" ht="12.75" customHeight="1" x14ac:dyDescent="0.2">
      <c r="A58" s="199"/>
      <c r="B58" s="200"/>
      <c r="C58" s="200"/>
      <c r="D58" s="200"/>
      <c r="E58" s="201"/>
    </row>
    <row r="59" spans="1:5" x14ac:dyDescent="0.2">
      <c r="A59" s="194"/>
      <c r="B59" s="195"/>
      <c r="C59" s="195"/>
      <c r="D59" s="195"/>
      <c r="E59" s="196"/>
    </row>
    <row r="60" spans="1:5" x14ac:dyDescent="0.2">
      <c r="A60" s="177"/>
      <c r="B60" s="178"/>
      <c r="C60" s="178"/>
      <c r="D60" s="178"/>
      <c r="E60" s="179"/>
    </row>
    <row r="61" spans="1:5" ht="12.75" customHeight="1" x14ac:dyDescent="0.2">
      <c r="A61" s="180"/>
      <c r="B61" s="181"/>
      <c r="C61" s="181"/>
      <c r="D61" s="181"/>
      <c r="E61" s="182"/>
    </row>
    <row r="62" spans="1:5" x14ac:dyDescent="0.2">
      <c r="A62" s="177"/>
      <c r="B62" s="178"/>
      <c r="C62" s="178"/>
      <c r="D62" s="178"/>
      <c r="E62" s="179"/>
    </row>
    <row r="63" spans="1:5" x14ac:dyDescent="0.2">
      <c r="A63" s="177"/>
      <c r="B63" s="178"/>
      <c r="C63" s="178"/>
      <c r="D63" s="178"/>
      <c r="E63" s="179"/>
    </row>
    <row r="64" spans="1:5" x14ac:dyDescent="0.2">
      <c r="A64" s="180"/>
      <c r="B64" s="181"/>
      <c r="C64" s="181"/>
      <c r="D64" s="181"/>
      <c r="E64" s="182"/>
    </row>
    <row r="65" spans="1:5" x14ac:dyDescent="0.2">
      <c r="A65" s="177"/>
      <c r="B65" s="178"/>
      <c r="C65" s="178"/>
      <c r="D65" s="178"/>
      <c r="E65" s="179"/>
    </row>
    <row r="66" spans="1:5" x14ac:dyDescent="0.2">
      <c r="A66" s="180"/>
      <c r="B66" s="181"/>
      <c r="C66" s="181"/>
      <c r="D66" s="181"/>
      <c r="E66" s="182"/>
    </row>
    <row r="67" spans="1:5" x14ac:dyDescent="0.2">
      <c r="A67" s="177"/>
      <c r="B67" s="178"/>
      <c r="C67" s="178"/>
      <c r="D67" s="178"/>
      <c r="E67" s="179"/>
    </row>
    <row r="68" spans="1:5" ht="12.75" customHeight="1" x14ac:dyDescent="0.2">
      <c r="A68" s="180" t="s">
        <v>502</v>
      </c>
      <c r="B68" s="181"/>
      <c r="C68" s="181"/>
      <c r="D68" s="181"/>
      <c r="E68" s="182"/>
    </row>
    <row r="69" spans="1:5" x14ac:dyDescent="0.2">
      <c r="A69" s="177"/>
      <c r="B69" s="178"/>
      <c r="C69" s="178"/>
      <c r="D69" s="178"/>
      <c r="E69" s="179"/>
    </row>
    <row r="70" spans="1:5" x14ac:dyDescent="0.2">
      <c r="A70" s="177"/>
      <c r="B70" s="178"/>
      <c r="C70" s="178"/>
      <c r="D70" s="178"/>
      <c r="E70" s="179"/>
    </row>
    <row r="71" spans="1:5" x14ac:dyDescent="0.2">
      <c r="A71" s="180"/>
      <c r="B71" s="181"/>
      <c r="C71" s="181"/>
      <c r="D71" s="181"/>
      <c r="E71" s="182"/>
    </row>
    <row r="72" spans="1:5" x14ac:dyDescent="0.2">
      <c r="A72" s="177"/>
      <c r="B72" s="178"/>
      <c r="C72" s="178"/>
      <c r="D72" s="178"/>
      <c r="E72" s="179"/>
    </row>
    <row r="73" spans="1:5" ht="12.75" customHeight="1" x14ac:dyDescent="0.2">
      <c r="A73" s="180" t="s">
        <v>503</v>
      </c>
      <c r="B73" s="181"/>
      <c r="C73" s="181"/>
      <c r="D73" s="181"/>
      <c r="E73" s="182"/>
    </row>
    <row r="74" spans="1:5" x14ac:dyDescent="0.2">
      <c r="A74" s="177"/>
      <c r="B74" s="178"/>
      <c r="C74" s="178"/>
      <c r="D74" s="178"/>
      <c r="E74" s="179"/>
    </row>
    <row r="75" spans="1:5" x14ac:dyDescent="0.2">
      <c r="A75" s="194"/>
      <c r="B75" s="195"/>
      <c r="C75" s="195"/>
      <c r="D75" s="195"/>
      <c r="E75" s="196"/>
    </row>
    <row r="76" spans="1:5" x14ac:dyDescent="0.2">
      <c r="A76" s="177"/>
      <c r="B76" s="178"/>
      <c r="C76" s="178"/>
      <c r="D76" s="178"/>
      <c r="E76" s="179"/>
    </row>
    <row r="77" spans="1:5" ht="12.75" customHeight="1" x14ac:dyDescent="0.2">
      <c r="A77" s="180" t="s">
        <v>504</v>
      </c>
      <c r="B77" s="181"/>
      <c r="C77" s="181"/>
      <c r="D77" s="181"/>
      <c r="E77" s="182"/>
    </row>
    <row r="78" spans="1:5" x14ac:dyDescent="0.2">
      <c r="A78" s="177"/>
      <c r="B78" s="178"/>
      <c r="C78" s="178"/>
      <c r="D78" s="178"/>
      <c r="E78" s="179"/>
    </row>
    <row r="79" spans="1:5" ht="12.75" customHeight="1" x14ac:dyDescent="0.2">
      <c r="A79" s="180"/>
      <c r="B79" s="181"/>
      <c r="C79" s="181"/>
      <c r="D79" s="181"/>
      <c r="E79" s="182"/>
    </row>
    <row r="80" spans="1:5" x14ac:dyDescent="0.2">
      <c r="A80" s="177"/>
      <c r="B80" s="178"/>
      <c r="C80" s="178"/>
      <c r="D80" s="178"/>
      <c r="E80" s="179"/>
    </row>
    <row r="81" spans="1:5" x14ac:dyDescent="0.2">
      <c r="A81" s="194"/>
      <c r="B81" s="195"/>
      <c r="C81" s="195"/>
      <c r="D81" s="195"/>
      <c r="E81" s="196"/>
    </row>
    <row r="82" spans="1:5" x14ac:dyDescent="0.2">
      <c r="A82" s="177"/>
      <c r="B82" s="178"/>
      <c r="C82" s="178"/>
      <c r="D82" s="178"/>
      <c r="E82" s="179"/>
    </row>
    <row r="83" spans="1:5" x14ac:dyDescent="0.2">
      <c r="A83" s="180"/>
      <c r="B83" s="181"/>
      <c r="C83" s="181"/>
      <c r="D83" s="181"/>
      <c r="E83" s="182"/>
    </row>
    <row r="84" spans="1:5" x14ac:dyDescent="0.2">
      <c r="A84" s="177"/>
      <c r="B84" s="178"/>
      <c r="C84" s="178"/>
      <c r="D84" s="178"/>
      <c r="E84" s="179"/>
    </row>
    <row r="85" spans="1:5" ht="12.75" customHeight="1" x14ac:dyDescent="0.2">
      <c r="A85" s="180" t="s">
        <v>505</v>
      </c>
      <c r="B85" s="181"/>
      <c r="C85" s="181"/>
      <c r="D85" s="181"/>
      <c r="E85" s="182"/>
    </row>
    <row r="86" spans="1:5" x14ac:dyDescent="0.2">
      <c r="A86" s="177"/>
      <c r="B86" s="178"/>
      <c r="C86" s="178"/>
      <c r="D86" s="178"/>
      <c r="E86" s="179"/>
    </row>
    <row r="87" spans="1:5" ht="12.75" customHeight="1" x14ac:dyDescent="0.2">
      <c r="A87" s="180"/>
      <c r="B87" s="181"/>
      <c r="C87" s="181"/>
      <c r="D87" s="181"/>
      <c r="E87" s="182"/>
    </row>
    <row r="88" spans="1:5" x14ac:dyDescent="0.2">
      <c r="A88" s="177"/>
      <c r="B88" s="178"/>
      <c r="C88" s="178"/>
      <c r="D88" s="178"/>
      <c r="E88" s="179"/>
    </row>
    <row r="89" spans="1:5" x14ac:dyDescent="0.2">
      <c r="A89" s="180"/>
      <c r="B89" s="181"/>
      <c r="C89" s="181"/>
      <c r="D89" s="181"/>
      <c r="E89" s="182"/>
    </row>
    <row r="90" spans="1:5" x14ac:dyDescent="0.2">
      <c r="A90" s="177"/>
      <c r="B90" s="178"/>
      <c r="C90" s="178"/>
      <c r="D90" s="178"/>
      <c r="E90" s="179"/>
    </row>
    <row r="91" spans="1:5" ht="12.75" customHeight="1" x14ac:dyDescent="0.2">
      <c r="A91" s="180" t="s">
        <v>506</v>
      </c>
      <c r="B91" s="181"/>
      <c r="C91" s="181"/>
      <c r="D91" s="181"/>
      <c r="E91" s="182"/>
    </row>
    <row r="92" spans="1:5" x14ac:dyDescent="0.2">
      <c r="A92" s="177"/>
      <c r="B92" s="178"/>
      <c r="C92" s="178"/>
      <c r="D92" s="178"/>
      <c r="E92" s="179"/>
    </row>
    <row r="93" spans="1:5" ht="12.75" customHeight="1" x14ac:dyDescent="0.2">
      <c r="A93" s="180"/>
      <c r="B93" s="181"/>
      <c r="C93" s="181"/>
      <c r="D93" s="181"/>
      <c r="E93" s="182"/>
    </row>
    <row r="94" spans="1:5" x14ac:dyDescent="0.2">
      <c r="A94" s="177"/>
      <c r="B94" s="178"/>
      <c r="C94" s="178"/>
      <c r="D94" s="178"/>
      <c r="E94" s="179"/>
    </row>
    <row r="95" spans="1:5" x14ac:dyDescent="0.2">
      <c r="A95" s="180"/>
      <c r="B95" s="181"/>
      <c r="C95" s="181"/>
      <c r="D95" s="181"/>
      <c r="E95" s="182"/>
    </row>
    <row r="96" spans="1:5" x14ac:dyDescent="0.2">
      <c r="A96" s="183"/>
      <c r="B96" s="184"/>
      <c r="C96" s="184"/>
      <c r="D96" s="184"/>
      <c r="E96" s="185"/>
    </row>
    <row r="97" spans="1:5" x14ac:dyDescent="0.2">
      <c r="A97" s="121"/>
      <c r="B97" s="122"/>
      <c r="C97" s="122"/>
      <c r="D97" s="122"/>
      <c r="E97" s="123"/>
    </row>
    <row r="98" spans="1:5" x14ac:dyDescent="0.2">
      <c r="A98" s="186"/>
      <c r="B98" s="187"/>
      <c r="C98" s="187"/>
      <c r="D98" s="187"/>
      <c r="E98" s="188"/>
    </row>
    <row r="99" spans="1:5" x14ac:dyDescent="0.2">
      <c r="A99" s="189"/>
      <c r="B99" s="190"/>
      <c r="C99" s="190"/>
      <c r="D99" s="190"/>
      <c r="E99" s="191"/>
    </row>
    <row r="100" spans="1:5" ht="13.5" customHeight="1" x14ac:dyDescent="0.2">
      <c r="A100" s="192" t="s">
        <v>507</v>
      </c>
      <c r="B100" s="192"/>
      <c r="C100" s="192"/>
      <c r="D100" s="192"/>
      <c r="E100" s="192"/>
    </row>
    <row r="101" spans="1:5" x14ac:dyDescent="0.2">
      <c r="A101" s="193"/>
      <c r="B101" s="193"/>
      <c r="C101" s="193"/>
      <c r="D101" s="193"/>
      <c r="E101" s="193"/>
    </row>
    <row r="102" spans="1:5" x14ac:dyDescent="0.2">
      <c r="A102" s="193"/>
      <c r="B102" s="193"/>
      <c r="C102" s="193"/>
      <c r="D102" s="193"/>
      <c r="E102" s="193"/>
    </row>
    <row r="103" spans="1:5" x14ac:dyDescent="0.2">
      <c r="A103" s="193"/>
      <c r="B103" s="193"/>
      <c r="C103" s="193"/>
      <c r="D103" s="193"/>
      <c r="E103" s="193"/>
    </row>
    <row r="104" spans="1:5" x14ac:dyDescent="0.2">
      <c r="A104" s="193"/>
      <c r="B104" s="193"/>
      <c r="C104" s="193"/>
      <c r="D104" s="193"/>
      <c r="E104" s="193"/>
    </row>
    <row r="105" spans="1:5" x14ac:dyDescent="0.2">
      <c r="A105" s="193"/>
      <c r="B105" s="193"/>
      <c r="C105" s="193"/>
      <c r="D105" s="193"/>
      <c r="E105" s="193"/>
    </row>
    <row r="106" spans="1:5" x14ac:dyDescent="0.2">
      <c r="A106" s="176"/>
      <c r="B106" s="176"/>
      <c r="C106" s="176"/>
      <c r="D106" s="176"/>
      <c r="E106" s="176"/>
    </row>
  </sheetData>
  <mergeCells count="63">
    <mergeCell ref="A18:E19"/>
    <mergeCell ref="A5:E5"/>
    <mergeCell ref="A6:E6"/>
    <mergeCell ref="A7:E7"/>
    <mergeCell ref="A8:E8"/>
    <mergeCell ref="A9:E9"/>
    <mergeCell ref="A10:E10"/>
    <mergeCell ref="A11:E11"/>
    <mergeCell ref="A12:E12"/>
    <mergeCell ref="A13:E13"/>
    <mergeCell ref="A14:E14"/>
    <mergeCell ref="A15:E17"/>
    <mergeCell ref="A20:E20"/>
    <mergeCell ref="A21:E21"/>
    <mergeCell ref="A22:E22"/>
    <mergeCell ref="A23:E25"/>
    <mergeCell ref="A26:E26"/>
    <mergeCell ref="A27:E27"/>
    <mergeCell ref="A28:E28"/>
    <mergeCell ref="A58:E58"/>
    <mergeCell ref="A65:E65"/>
    <mergeCell ref="A59:E59"/>
    <mergeCell ref="A60:E60"/>
    <mergeCell ref="A61:E61"/>
    <mergeCell ref="A62:E62"/>
    <mergeCell ref="A63:E63"/>
    <mergeCell ref="A64:E64"/>
    <mergeCell ref="A77:E77"/>
    <mergeCell ref="A66:E66"/>
    <mergeCell ref="A67:E67"/>
    <mergeCell ref="A68:E68"/>
    <mergeCell ref="A69:E69"/>
    <mergeCell ref="A70:E70"/>
    <mergeCell ref="A71:E71"/>
    <mergeCell ref="A72:E72"/>
    <mergeCell ref="A73:E73"/>
    <mergeCell ref="A74:E74"/>
    <mergeCell ref="A75:E75"/>
    <mergeCell ref="A76:E76"/>
    <mergeCell ref="A89:E89"/>
    <mergeCell ref="A78:E78"/>
    <mergeCell ref="A79:E79"/>
    <mergeCell ref="A80:E80"/>
    <mergeCell ref="A81:E81"/>
    <mergeCell ref="A82:E82"/>
    <mergeCell ref="A83:E83"/>
    <mergeCell ref="A84:E84"/>
    <mergeCell ref="A85:E85"/>
    <mergeCell ref="A86:E86"/>
    <mergeCell ref="A87:E87"/>
    <mergeCell ref="A88:E88"/>
    <mergeCell ref="A106:E106"/>
    <mergeCell ref="A90:E90"/>
    <mergeCell ref="A91:E91"/>
    <mergeCell ref="A92:E92"/>
    <mergeCell ref="A93:E93"/>
    <mergeCell ref="A94:E94"/>
    <mergeCell ref="A95:E95"/>
    <mergeCell ref="A96:E96"/>
    <mergeCell ref="A98:E98"/>
    <mergeCell ref="A99:E99"/>
    <mergeCell ref="A100:E100"/>
    <mergeCell ref="A101:E105"/>
  </mergeCells>
  <pageMargins left="0.98425196850393704" right="0.51181102362204722" top="0.78740157480314965" bottom="0.78740157480314965" header="0.31496062992125984" footer="0.31496062992125984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2:X109"/>
  <sheetViews>
    <sheetView topLeftCell="J1" zoomScaleNormal="100" zoomScaleSheetLayoutView="100" workbookViewId="0">
      <selection activeCell="U24" sqref="U24"/>
    </sheetView>
  </sheetViews>
  <sheetFormatPr defaultColWidth="9.140625" defaultRowHeight="15" x14ac:dyDescent="0.25"/>
  <cols>
    <col min="1" max="1" width="30.85546875" style="11" customWidth="1"/>
    <col min="2" max="2" width="11.28515625" style="11" customWidth="1"/>
    <col min="3" max="3" width="6.28515625" style="12" customWidth="1"/>
    <col min="4" max="4" width="32" style="12" customWidth="1"/>
    <col min="5" max="5" width="70.42578125" style="12" customWidth="1"/>
    <col min="6" max="6" width="7.28515625" style="12" customWidth="1"/>
    <col min="7" max="7" width="6.42578125" style="12" customWidth="1"/>
    <col min="8" max="8" width="8.140625" style="12" customWidth="1"/>
    <col min="9" max="9" width="11.85546875" style="12" customWidth="1"/>
    <col min="10" max="10" width="6.28515625" style="25" customWidth="1"/>
    <col min="11" max="11" width="4.5703125" style="13" customWidth="1"/>
    <col min="12" max="12" width="3.85546875" style="24" customWidth="1"/>
    <col min="13" max="13" width="27.7109375" style="11" customWidth="1"/>
    <col min="14" max="14" width="41.28515625" style="11" customWidth="1"/>
    <col min="15" max="15" width="21.7109375" style="11" customWidth="1"/>
    <col min="16" max="16" width="4.5703125" style="11" customWidth="1"/>
    <col min="17" max="18" width="6.7109375" style="11" customWidth="1"/>
    <col min="19" max="19" width="42.28515625" style="11" customWidth="1"/>
    <col min="20" max="20" width="5.7109375" style="11" customWidth="1"/>
    <col min="21" max="21" width="4.85546875" style="11" customWidth="1"/>
    <col min="22" max="22" width="4.7109375" style="11" customWidth="1"/>
    <col min="23" max="23" width="6" style="11" customWidth="1"/>
    <col min="24" max="24" width="6.42578125" style="12" customWidth="1"/>
    <col min="25" max="16384" width="9.140625" style="11"/>
  </cols>
  <sheetData>
    <row r="2" spans="1:24" x14ac:dyDescent="0.25">
      <c r="A2" s="32" t="s">
        <v>269</v>
      </c>
      <c r="B2" s="11" t="s">
        <v>22</v>
      </c>
      <c r="C2" s="12">
        <v>2015</v>
      </c>
      <c r="D2" s="35" t="s">
        <v>332</v>
      </c>
      <c r="E2" s="35" t="s">
        <v>336</v>
      </c>
      <c r="F2" s="12" t="s">
        <v>23</v>
      </c>
      <c r="G2" s="12" t="s">
        <v>24</v>
      </c>
      <c r="H2" s="12" t="s">
        <v>38</v>
      </c>
      <c r="I2" s="12" t="s">
        <v>25</v>
      </c>
      <c r="J2" s="13" t="s">
        <v>26</v>
      </c>
      <c r="K2" s="13" t="s">
        <v>27</v>
      </c>
      <c r="L2" s="13" t="s">
        <v>28</v>
      </c>
      <c r="M2" s="33" t="s">
        <v>271</v>
      </c>
      <c r="N2" s="14" t="s">
        <v>267</v>
      </c>
      <c r="O2" s="15" t="s">
        <v>29</v>
      </c>
      <c r="P2" s="15" t="s">
        <v>30</v>
      </c>
      <c r="Q2" s="15" t="s">
        <v>31</v>
      </c>
      <c r="R2" s="15" t="s">
        <v>32</v>
      </c>
      <c r="S2" s="15" t="s">
        <v>33</v>
      </c>
      <c r="T2" s="15" t="s">
        <v>34</v>
      </c>
      <c r="U2" s="12">
        <v>1</v>
      </c>
      <c r="V2" s="16" t="s">
        <v>1</v>
      </c>
      <c r="W2" s="17" t="s">
        <v>11</v>
      </c>
      <c r="X2" s="29" t="s">
        <v>1</v>
      </c>
    </row>
    <row r="3" spans="1:24" x14ac:dyDescent="0.25">
      <c r="A3" s="32" t="s">
        <v>270</v>
      </c>
      <c r="B3" s="11" t="s">
        <v>35</v>
      </c>
      <c r="C3" s="12">
        <v>2016</v>
      </c>
      <c r="D3" s="35" t="s">
        <v>333</v>
      </c>
      <c r="E3" s="35" t="s">
        <v>321</v>
      </c>
      <c r="F3" s="12" t="s">
        <v>36</v>
      </c>
      <c r="G3" s="12" t="s">
        <v>37</v>
      </c>
      <c r="H3" s="12" t="s">
        <v>53</v>
      </c>
      <c r="I3" s="12" t="s">
        <v>39</v>
      </c>
      <c r="J3" s="13" t="s">
        <v>40</v>
      </c>
      <c r="K3" s="13" t="s">
        <v>41</v>
      </c>
      <c r="L3" s="13" t="s">
        <v>42</v>
      </c>
      <c r="M3" s="33" t="s">
        <v>272</v>
      </c>
      <c r="N3" s="14" t="s">
        <v>83</v>
      </c>
      <c r="O3" s="15" t="s">
        <v>43</v>
      </c>
      <c r="P3" s="15" t="s">
        <v>44</v>
      </c>
      <c r="Q3" s="15" t="s">
        <v>45</v>
      </c>
      <c r="R3" s="15" t="s">
        <v>46</v>
      </c>
      <c r="S3" s="15" t="s">
        <v>47</v>
      </c>
      <c r="T3" s="15" t="s">
        <v>48</v>
      </c>
      <c r="U3" s="12">
        <v>2</v>
      </c>
      <c r="V3" s="16" t="s">
        <v>49</v>
      </c>
      <c r="W3" s="17" t="s">
        <v>6</v>
      </c>
      <c r="X3" s="29" t="s">
        <v>0</v>
      </c>
    </row>
    <row r="4" spans="1:24" x14ac:dyDescent="0.25">
      <c r="B4" s="11" t="s">
        <v>50</v>
      </c>
      <c r="C4" s="12">
        <v>2017</v>
      </c>
      <c r="D4" s="35" t="s">
        <v>334</v>
      </c>
      <c r="E4" s="35" t="s">
        <v>322</v>
      </c>
      <c r="F4" s="12" t="s">
        <v>51</v>
      </c>
      <c r="G4" s="12" t="s">
        <v>52</v>
      </c>
      <c r="H4" s="12" t="s">
        <v>78</v>
      </c>
      <c r="I4" s="12" t="s">
        <v>54</v>
      </c>
      <c r="J4" s="13" t="s">
        <v>55</v>
      </c>
      <c r="K4" s="13" t="s">
        <v>56</v>
      </c>
      <c r="L4" s="13" t="s">
        <v>57</v>
      </c>
      <c r="M4" s="33" t="s">
        <v>273</v>
      </c>
      <c r="N4" s="36" t="s">
        <v>105</v>
      </c>
      <c r="O4" s="15" t="s">
        <v>58</v>
      </c>
      <c r="P4" s="15" t="s">
        <v>59</v>
      </c>
      <c r="Q4" s="15" t="s">
        <v>60</v>
      </c>
      <c r="R4" s="15" t="s">
        <v>277</v>
      </c>
      <c r="S4" s="15" t="s">
        <v>61</v>
      </c>
      <c r="T4" s="15" t="s">
        <v>62</v>
      </c>
      <c r="U4" s="12">
        <v>3</v>
      </c>
      <c r="V4" s="16" t="s">
        <v>63</v>
      </c>
      <c r="W4" s="17" t="s">
        <v>7</v>
      </c>
      <c r="X4" s="29" t="s">
        <v>2</v>
      </c>
    </row>
    <row r="5" spans="1:24" x14ac:dyDescent="0.25">
      <c r="B5" s="11" t="s">
        <v>64</v>
      </c>
      <c r="C5" s="12">
        <v>2018</v>
      </c>
      <c r="D5" s="35" t="s">
        <v>331</v>
      </c>
      <c r="E5" s="35" t="s">
        <v>337</v>
      </c>
      <c r="F5" s="12" t="s">
        <v>14</v>
      </c>
      <c r="G5" s="12" t="s">
        <v>21</v>
      </c>
      <c r="H5" s="12" t="s">
        <v>100</v>
      </c>
      <c r="I5" s="12" t="s">
        <v>65</v>
      </c>
      <c r="J5" s="13" t="s">
        <v>66</v>
      </c>
      <c r="K5" s="13" t="s">
        <v>67</v>
      </c>
      <c r="L5" s="13" t="s">
        <v>68</v>
      </c>
      <c r="M5" s="33" t="s">
        <v>274</v>
      </c>
      <c r="N5" s="36" t="s">
        <v>328</v>
      </c>
      <c r="O5" s="15" t="s">
        <v>69</v>
      </c>
      <c r="P5" s="15" t="s">
        <v>275</v>
      </c>
      <c r="Q5" s="15" t="s">
        <v>70</v>
      </c>
      <c r="R5" s="15"/>
      <c r="S5" s="15" t="s">
        <v>71</v>
      </c>
      <c r="T5" s="15" t="s">
        <v>72</v>
      </c>
      <c r="U5" s="12">
        <v>4</v>
      </c>
      <c r="V5" s="16" t="s">
        <v>73</v>
      </c>
      <c r="W5" s="17" t="s">
        <v>10</v>
      </c>
      <c r="X5" s="29" t="s">
        <v>74</v>
      </c>
    </row>
    <row r="6" spans="1:24" x14ac:dyDescent="0.25">
      <c r="B6" s="11" t="s">
        <v>75</v>
      </c>
      <c r="C6" s="12">
        <v>2019</v>
      </c>
      <c r="D6" s="35" t="s">
        <v>335</v>
      </c>
      <c r="E6" s="35" t="s">
        <v>323</v>
      </c>
      <c r="F6" s="12" t="s">
        <v>76</v>
      </c>
      <c r="G6" s="12" t="s">
        <v>77</v>
      </c>
      <c r="H6" s="12" t="s">
        <v>112</v>
      </c>
      <c r="I6" s="12" t="s">
        <v>79</v>
      </c>
      <c r="J6" s="13" t="s">
        <v>80</v>
      </c>
      <c r="K6" s="13" t="s">
        <v>81</v>
      </c>
      <c r="L6" s="13" t="s">
        <v>82</v>
      </c>
      <c r="M6" s="19"/>
      <c r="N6" s="14" t="s">
        <v>132</v>
      </c>
      <c r="O6" s="15" t="s">
        <v>84</v>
      </c>
      <c r="P6" s="15"/>
      <c r="Q6" s="15" t="s">
        <v>85</v>
      </c>
      <c r="R6" s="15"/>
      <c r="S6" s="15" t="s">
        <v>86</v>
      </c>
      <c r="T6" s="15" t="s">
        <v>87</v>
      </c>
      <c r="U6" s="12">
        <v>5</v>
      </c>
      <c r="V6" s="16" t="s">
        <v>88</v>
      </c>
      <c r="W6" s="17" t="s">
        <v>8</v>
      </c>
      <c r="X6" s="29" t="s">
        <v>19</v>
      </c>
    </row>
    <row r="7" spans="1:24" x14ac:dyDescent="0.25">
      <c r="B7" s="11" t="s">
        <v>89</v>
      </c>
      <c r="C7" s="12">
        <v>2020</v>
      </c>
      <c r="D7" s="31"/>
      <c r="E7" s="35" t="s">
        <v>324</v>
      </c>
      <c r="F7" s="31"/>
      <c r="G7" s="31"/>
      <c r="H7" s="12" t="s">
        <v>121</v>
      </c>
      <c r="I7" s="12" t="s">
        <v>90</v>
      </c>
      <c r="J7" s="13" t="s">
        <v>91</v>
      </c>
      <c r="K7" s="13" t="s">
        <v>92</v>
      </c>
      <c r="L7" s="13" t="s">
        <v>93</v>
      </c>
      <c r="M7" s="19"/>
      <c r="N7" s="36" t="s">
        <v>139</v>
      </c>
      <c r="O7" s="15" t="s">
        <v>94</v>
      </c>
      <c r="P7" s="17"/>
      <c r="Q7" s="15" t="s">
        <v>95</v>
      </c>
      <c r="R7" s="15"/>
      <c r="S7" s="15" t="s">
        <v>96</v>
      </c>
      <c r="T7" s="15" t="s">
        <v>97</v>
      </c>
      <c r="U7" s="12">
        <v>6</v>
      </c>
      <c r="V7" s="16" t="s">
        <v>98</v>
      </c>
      <c r="W7" s="17" t="s">
        <v>9</v>
      </c>
      <c r="X7" s="29" t="s">
        <v>281</v>
      </c>
    </row>
    <row r="8" spans="1:24" x14ac:dyDescent="0.25">
      <c r="B8" s="11" t="s">
        <v>99</v>
      </c>
      <c r="C8" s="12">
        <v>2021</v>
      </c>
      <c r="E8" s="35" t="s">
        <v>338</v>
      </c>
      <c r="H8" s="12" t="s">
        <v>148</v>
      </c>
      <c r="I8" s="12" t="s">
        <v>101</v>
      </c>
      <c r="J8" s="13" t="s">
        <v>102</v>
      </c>
      <c r="K8" s="13" t="s">
        <v>103</v>
      </c>
      <c r="L8" s="13" t="s">
        <v>104</v>
      </c>
      <c r="M8" s="14"/>
      <c r="N8" s="36" t="s">
        <v>329</v>
      </c>
      <c r="O8" s="15" t="s">
        <v>106</v>
      </c>
      <c r="P8" s="17"/>
      <c r="Q8" s="15" t="s">
        <v>107</v>
      </c>
      <c r="R8" s="15"/>
      <c r="S8" s="15" t="s">
        <v>108</v>
      </c>
      <c r="T8" s="15" t="s">
        <v>109</v>
      </c>
      <c r="U8" s="12">
        <v>7</v>
      </c>
      <c r="V8" s="16" t="s">
        <v>110</v>
      </c>
      <c r="W8" s="17" t="s">
        <v>266</v>
      </c>
      <c r="X8" s="29" t="s">
        <v>282</v>
      </c>
    </row>
    <row r="9" spans="1:24" x14ac:dyDescent="0.25">
      <c r="B9" s="11" t="s">
        <v>111</v>
      </c>
      <c r="C9" s="12">
        <v>2022</v>
      </c>
      <c r="E9" s="35" t="s">
        <v>325</v>
      </c>
      <c r="H9" s="12" t="s">
        <v>153</v>
      </c>
      <c r="J9" s="13" t="s">
        <v>113</v>
      </c>
      <c r="K9" s="13" t="s">
        <v>114</v>
      </c>
      <c r="L9" s="13" t="s">
        <v>115</v>
      </c>
      <c r="M9" s="14"/>
      <c r="N9" s="36" t="s">
        <v>330</v>
      </c>
      <c r="O9" s="17"/>
      <c r="P9" s="17"/>
      <c r="Q9" s="17" t="s">
        <v>116</v>
      </c>
      <c r="R9" s="17"/>
      <c r="S9" s="15" t="s">
        <v>117</v>
      </c>
      <c r="T9" s="15" t="s">
        <v>118</v>
      </c>
      <c r="U9" s="12">
        <v>8</v>
      </c>
      <c r="V9" s="16" t="s">
        <v>119</v>
      </c>
      <c r="X9" s="29" t="s">
        <v>280</v>
      </c>
    </row>
    <row r="10" spans="1:24" x14ac:dyDescent="0.25">
      <c r="B10" s="11" t="s">
        <v>120</v>
      </c>
      <c r="C10" s="12">
        <v>2023</v>
      </c>
      <c r="D10" s="35"/>
      <c r="E10" s="35" t="s">
        <v>319</v>
      </c>
      <c r="H10" s="12" t="s">
        <v>168</v>
      </c>
      <c r="J10" s="13" t="s">
        <v>122</v>
      </c>
      <c r="K10" s="13" t="s">
        <v>123</v>
      </c>
      <c r="L10" s="13" t="s">
        <v>124</v>
      </c>
      <c r="M10" s="14"/>
      <c r="N10" s="14" t="s">
        <v>214</v>
      </c>
      <c r="O10" s="17"/>
      <c r="P10" s="17"/>
      <c r="Q10" s="17" t="s">
        <v>276</v>
      </c>
      <c r="R10" s="17"/>
      <c r="S10" s="15" t="s">
        <v>125</v>
      </c>
      <c r="T10" s="15" t="s">
        <v>126</v>
      </c>
      <c r="U10" s="12">
        <v>9</v>
      </c>
      <c r="V10" s="16" t="s">
        <v>127</v>
      </c>
      <c r="X10" s="29" t="s">
        <v>279</v>
      </c>
    </row>
    <row r="11" spans="1:24" x14ac:dyDescent="0.25">
      <c r="B11" s="11" t="s">
        <v>128</v>
      </c>
      <c r="C11" s="12">
        <v>2024</v>
      </c>
      <c r="D11" s="35"/>
      <c r="E11" s="35" t="s">
        <v>339</v>
      </c>
      <c r="H11" s="12" t="s">
        <v>174</v>
      </c>
      <c r="J11" s="13" t="s">
        <v>129</v>
      </c>
      <c r="K11" s="13" t="s">
        <v>130</v>
      </c>
      <c r="L11" s="13" t="s">
        <v>131</v>
      </c>
      <c r="M11" s="14"/>
      <c r="N11" s="14" t="s">
        <v>12</v>
      </c>
      <c r="O11" s="17"/>
      <c r="P11" s="17"/>
      <c r="Q11" s="17"/>
      <c r="R11" s="17"/>
      <c r="S11" s="15" t="s">
        <v>133</v>
      </c>
      <c r="T11" s="15" t="s">
        <v>134</v>
      </c>
      <c r="U11" s="12">
        <v>10</v>
      </c>
      <c r="V11" s="16" t="s">
        <v>0</v>
      </c>
      <c r="X11" s="29" t="s">
        <v>15</v>
      </c>
    </row>
    <row r="12" spans="1:24" x14ac:dyDescent="0.25">
      <c r="B12" s="11" t="s">
        <v>135</v>
      </c>
      <c r="C12" s="12">
        <v>2025</v>
      </c>
      <c r="D12" s="35"/>
      <c r="E12" s="35" t="s">
        <v>320</v>
      </c>
      <c r="H12" s="12" t="s">
        <v>180</v>
      </c>
      <c r="J12" s="13" t="s">
        <v>136</v>
      </c>
      <c r="K12" s="13" t="s">
        <v>137</v>
      </c>
      <c r="L12" s="13" t="s">
        <v>138</v>
      </c>
      <c r="M12" s="14"/>
      <c r="N12" s="14"/>
      <c r="O12" s="17"/>
      <c r="P12" s="17"/>
      <c r="Q12" s="17"/>
      <c r="R12" s="17"/>
      <c r="S12" s="15" t="s">
        <v>140</v>
      </c>
      <c r="T12" s="15" t="s">
        <v>141</v>
      </c>
      <c r="U12" s="12">
        <v>11</v>
      </c>
      <c r="V12" s="16" t="s">
        <v>162</v>
      </c>
      <c r="X12" s="29" t="s">
        <v>278</v>
      </c>
    </row>
    <row r="13" spans="1:24" x14ac:dyDescent="0.25">
      <c r="B13" s="11" t="s">
        <v>142</v>
      </c>
      <c r="C13" s="12">
        <v>2026</v>
      </c>
      <c r="D13" s="35"/>
      <c r="E13" s="35" t="s">
        <v>326</v>
      </c>
      <c r="H13" s="12" t="s">
        <v>201</v>
      </c>
      <c r="J13" s="13" t="s">
        <v>143</v>
      </c>
      <c r="K13" s="13" t="s">
        <v>144</v>
      </c>
      <c r="L13" s="13" t="s">
        <v>145</v>
      </c>
      <c r="M13" s="14"/>
      <c r="N13" s="14"/>
      <c r="O13" s="17"/>
      <c r="P13" s="22"/>
      <c r="Q13" s="22"/>
      <c r="R13" s="22"/>
      <c r="S13" s="15" t="s">
        <v>146</v>
      </c>
      <c r="T13" s="15" t="s">
        <v>147</v>
      </c>
      <c r="U13" s="12">
        <v>12</v>
      </c>
      <c r="V13" s="16" t="s">
        <v>167</v>
      </c>
      <c r="X13" s="29" t="s">
        <v>13</v>
      </c>
    </row>
    <row r="14" spans="1:24" x14ac:dyDescent="0.25">
      <c r="C14" s="12">
        <v>2027</v>
      </c>
      <c r="D14" s="35"/>
      <c r="E14" s="35" t="s">
        <v>340</v>
      </c>
      <c r="H14" s="12" t="s">
        <v>206</v>
      </c>
      <c r="J14" s="13" t="s">
        <v>149</v>
      </c>
      <c r="K14" s="13" t="s">
        <v>150</v>
      </c>
      <c r="L14" s="13"/>
      <c r="M14" s="14"/>
      <c r="N14" s="14"/>
      <c r="O14" s="17"/>
      <c r="P14" s="22"/>
      <c r="Q14" s="22"/>
      <c r="R14" s="22"/>
      <c r="S14" s="15" t="s">
        <v>151</v>
      </c>
      <c r="T14" s="15" t="s">
        <v>152</v>
      </c>
      <c r="U14" s="12">
        <v>13</v>
      </c>
      <c r="V14" s="16" t="s">
        <v>173</v>
      </c>
      <c r="X14" s="29" t="s">
        <v>3</v>
      </c>
    </row>
    <row r="15" spans="1:24" ht="18" customHeight="1" x14ac:dyDescent="0.25">
      <c r="C15" s="12">
        <v>2028</v>
      </c>
      <c r="E15" s="35" t="s">
        <v>327</v>
      </c>
      <c r="H15" s="12" t="s">
        <v>211</v>
      </c>
      <c r="J15" s="13" t="s">
        <v>154</v>
      </c>
      <c r="K15" s="13" t="s">
        <v>155</v>
      </c>
      <c r="L15" s="13"/>
      <c r="M15" s="14"/>
      <c r="N15" s="14"/>
      <c r="O15" s="17"/>
      <c r="P15" s="22"/>
      <c r="Q15" s="22"/>
      <c r="R15" s="22"/>
      <c r="S15" s="15" t="s">
        <v>156</v>
      </c>
      <c r="T15" s="15" t="s">
        <v>157</v>
      </c>
      <c r="U15" s="12">
        <v>14</v>
      </c>
      <c r="V15" s="16" t="s">
        <v>179</v>
      </c>
      <c r="X15" s="29" t="s">
        <v>17</v>
      </c>
    </row>
    <row r="16" spans="1:24" ht="18" customHeight="1" x14ac:dyDescent="0.25">
      <c r="C16" s="12">
        <v>2029</v>
      </c>
      <c r="E16" s="31"/>
      <c r="H16" s="31"/>
      <c r="J16" s="13" t="s">
        <v>158</v>
      </c>
      <c r="K16" s="13" t="s">
        <v>159</v>
      </c>
      <c r="L16" s="13"/>
      <c r="M16" s="14"/>
      <c r="N16" s="14"/>
      <c r="O16" s="17"/>
      <c r="P16" s="22"/>
      <c r="Q16" s="22"/>
      <c r="R16" s="22"/>
      <c r="S16" s="15" t="s">
        <v>160</v>
      </c>
      <c r="T16" s="15" t="s">
        <v>161</v>
      </c>
      <c r="U16" s="12">
        <v>15</v>
      </c>
      <c r="V16" s="16" t="s">
        <v>185</v>
      </c>
      <c r="X16" s="29" t="s">
        <v>18</v>
      </c>
    </row>
    <row r="17" spans="3:24" ht="18" customHeight="1" x14ac:dyDescent="0.25">
      <c r="C17" s="12">
        <v>2030</v>
      </c>
      <c r="E17" s="31"/>
      <c r="J17" s="13" t="s">
        <v>163</v>
      </c>
      <c r="K17" s="13" t="s">
        <v>164</v>
      </c>
      <c r="L17" s="13"/>
      <c r="M17" s="14"/>
      <c r="N17" s="14"/>
      <c r="O17" s="17"/>
      <c r="P17" s="22"/>
      <c r="Q17" s="22"/>
      <c r="R17" s="22"/>
      <c r="S17" s="15" t="s">
        <v>165</v>
      </c>
      <c r="T17" s="15" t="s">
        <v>166</v>
      </c>
      <c r="U17" s="12">
        <v>16</v>
      </c>
      <c r="V17" s="16" t="s">
        <v>190</v>
      </c>
      <c r="X17" s="29" t="s">
        <v>265</v>
      </c>
    </row>
    <row r="18" spans="3:24" ht="18" customHeight="1" x14ac:dyDescent="0.25">
      <c r="J18" s="13" t="s">
        <v>169</v>
      </c>
      <c r="K18" s="13" t="s">
        <v>170</v>
      </c>
      <c r="L18" s="13"/>
      <c r="M18" s="14"/>
      <c r="N18" s="14"/>
      <c r="O18" s="17"/>
      <c r="P18" s="22"/>
      <c r="Q18" s="23"/>
      <c r="R18" s="23"/>
      <c r="S18" s="15" t="s">
        <v>171</v>
      </c>
      <c r="T18" s="15" t="s">
        <v>172</v>
      </c>
      <c r="U18" s="12">
        <v>17</v>
      </c>
      <c r="V18" s="16" t="s">
        <v>195</v>
      </c>
      <c r="X18" s="29" t="s">
        <v>341</v>
      </c>
    </row>
    <row r="19" spans="3:24" ht="18" customHeight="1" x14ac:dyDescent="0.25">
      <c r="J19" s="13" t="s">
        <v>175</v>
      </c>
      <c r="K19" s="13" t="s">
        <v>176</v>
      </c>
      <c r="L19" s="13"/>
      <c r="M19" s="14"/>
      <c r="N19" s="14"/>
      <c r="O19" s="17"/>
      <c r="P19" s="17"/>
      <c r="Q19" s="17"/>
      <c r="R19" s="17"/>
      <c r="S19" s="15" t="s">
        <v>177</v>
      </c>
      <c r="T19" s="15" t="s">
        <v>178</v>
      </c>
      <c r="U19" s="12">
        <v>18</v>
      </c>
      <c r="V19" s="16" t="s">
        <v>200</v>
      </c>
    </row>
    <row r="20" spans="3:24" ht="18" customHeight="1" x14ac:dyDescent="0.25">
      <c r="E20" s="35"/>
      <c r="J20" s="13" t="s">
        <v>181</v>
      </c>
      <c r="K20" s="13" t="s">
        <v>182</v>
      </c>
      <c r="L20" s="13"/>
      <c r="M20" s="14"/>
      <c r="N20" s="14"/>
      <c r="O20" s="17"/>
      <c r="P20" s="17"/>
      <c r="Q20" s="17"/>
      <c r="R20" s="17"/>
      <c r="S20" s="15" t="s">
        <v>183</v>
      </c>
      <c r="T20" s="15" t="s">
        <v>184</v>
      </c>
      <c r="U20" s="12">
        <v>19</v>
      </c>
      <c r="V20" s="16" t="s">
        <v>2</v>
      </c>
    </row>
    <row r="21" spans="3:24" ht="18" customHeight="1" x14ac:dyDescent="0.25">
      <c r="E21" s="35"/>
      <c r="J21" s="13" t="s">
        <v>186</v>
      </c>
      <c r="K21" s="13" t="s">
        <v>187</v>
      </c>
      <c r="L21" s="13"/>
      <c r="M21" s="14"/>
      <c r="N21" s="14"/>
      <c r="O21" s="17"/>
      <c r="P21" s="17"/>
      <c r="Q21" s="17"/>
      <c r="R21" s="17"/>
      <c r="S21" s="15" t="s">
        <v>188</v>
      </c>
      <c r="T21" s="15" t="s">
        <v>189</v>
      </c>
      <c r="U21" s="12">
        <v>20</v>
      </c>
      <c r="V21" s="16" t="s">
        <v>215</v>
      </c>
    </row>
    <row r="22" spans="3:24" ht="18" customHeight="1" x14ac:dyDescent="0.25">
      <c r="E22" s="35"/>
      <c r="J22" s="13" t="s">
        <v>191</v>
      </c>
      <c r="K22" s="13" t="s">
        <v>192</v>
      </c>
      <c r="L22" s="13"/>
      <c r="M22" s="14"/>
      <c r="N22" s="14"/>
      <c r="O22" s="17"/>
      <c r="P22" s="17"/>
      <c r="Q22" s="17"/>
      <c r="R22" s="17"/>
      <c r="S22" s="15" t="s">
        <v>193</v>
      </c>
      <c r="T22" s="15" t="s">
        <v>194</v>
      </c>
      <c r="U22" s="12">
        <v>21</v>
      </c>
      <c r="V22" s="16" t="s">
        <v>216</v>
      </c>
    </row>
    <row r="23" spans="3:24" ht="18" customHeight="1" x14ac:dyDescent="0.3">
      <c r="E23" s="35"/>
      <c r="J23" s="13" t="s">
        <v>196</v>
      </c>
      <c r="K23" s="13" t="s">
        <v>197</v>
      </c>
      <c r="L23" s="13"/>
      <c r="M23" s="14"/>
      <c r="N23" s="14"/>
      <c r="O23" s="17"/>
      <c r="P23" s="17"/>
      <c r="Q23" s="17"/>
      <c r="R23" s="17"/>
      <c r="S23" s="15" t="s">
        <v>198</v>
      </c>
      <c r="T23" s="15" t="s">
        <v>199</v>
      </c>
      <c r="U23" s="12">
        <v>22</v>
      </c>
      <c r="V23" s="16" t="s">
        <v>217</v>
      </c>
      <c r="X23" s="20"/>
    </row>
    <row r="24" spans="3:24" ht="18" customHeight="1" x14ac:dyDescent="0.3">
      <c r="E24" s="35"/>
      <c r="J24" s="13" t="s">
        <v>202</v>
      </c>
      <c r="K24" s="13" t="s">
        <v>203</v>
      </c>
      <c r="L24" s="13"/>
      <c r="M24" s="14"/>
      <c r="N24" s="14"/>
      <c r="O24" s="17"/>
      <c r="P24" s="17"/>
      <c r="Q24" s="15"/>
      <c r="R24" s="15"/>
      <c r="S24" s="15" t="s">
        <v>204</v>
      </c>
      <c r="T24" s="15" t="s">
        <v>205</v>
      </c>
      <c r="U24" s="12">
        <v>23</v>
      </c>
      <c r="V24" s="16" t="s">
        <v>218</v>
      </c>
      <c r="X24" s="18"/>
    </row>
    <row r="25" spans="3:24" ht="18" customHeight="1" x14ac:dyDescent="0.3">
      <c r="E25" s="35"/>
      <c r="J25" s="13" t="s">
        <v>207</v>
      </c>
      <c r="K25" s="13" t="s">
        <v>208</v>
      </c>
      <c r="L25" s="13"/>
      <c r="M25" s="14"/>
      <c r="N25" s="14"/>
      <c r="O25" s="17"/>
      <c r="P25" s="17"/>
      <c r="Q25" s="15"/>
      <c r="R25" s="15"/>
      <c r="S25" s="15" t="s">
        <v>209</v>
      </c>
      <c r="T25" s="15" t="s">
        <v>210</v>
      </c>
      <c r="U25" s="12">
        <v>24</v>
      </c>
      <c r="V25" s="16" t="s">
        <v>219</v>
      </c>
      <c r="X25" s="18"/>
    </row>
    <row r="26" spans="3:24" ht="18" customHeight="1" x14ac:dyDescent="0.25">
      <c r="E26" s="35"/>
      <c r="J26" s="13" t="s">
        <v>212</v>
      </c>
      <c r="K26" s="13" t="s">
        <v>213</v>
      </c>
      <c r="L26" s="13"/>
      <c r="M26" s="14"/>
      <c r="N26" s="14"/>
      <c r="O26" s="17"/>
      <c r="P26" s="17"/>
      <c r="Q26" s="15"/>
      <c r="R26" s="15"/>
      <c r="S26" s="17"/>
      <c r="T26" s="17"/>
      <c r="U26" s="12">
        <v>25</v>
      </c>
      <c r="V26" s="16" t="s">
        <v>220</v>
      </c>
    </row>
    <row r="27" spans="3:24" ht="18" customHeight="1" x14ac:dyDescent="0.25">
      <c r="E27" s="35"/>
      <c r="J27" s="13"/>
      <c r="M27" s="14"/>
      <c r="N27" s="14"/>
      <c r="O27" s="17"/>
      <c r="P27" s="17"/>
      <c r="Q27" s="15"/>
      <c r="R27" s="15"/>
      <c r="S27" s="17"/>
      <c r="T27" s="17"/>
      <c r="U27" s="12">
        <v>26</v>
      </c>
      <c r="V27" s="16" t="s">
        <v>221</v>
      </c>
    </row>
    <row r="28" spans="3:24" ht="18" customHeight="1" x14ac:dyDescent="0.3">
      <c r="E28" s="35"/>
      <c r="M28" s="14"/>
      <c r="N28" s="14"/>
      <c r="O28" s="17"/>
      <c r="P28" s="17"/>
      <c r="Q28" s="15"/>
      <c r="R28" s="15"/>
      <c r="S28" s="17"/>
      <c r="T28" s="17"/>
      <c r="U28" s="12">
        <v>27</v>
      </c>
      <c r="V28" s="16" t="s">
        <v>222</v>
      </c>
      <c r="X28" s="21"/>
    </row>
    <row r="29" spans="3:24" ht="18" customHeight="1" x14ac:dyDescent="0.25">
      <c r="E29" s="35"/>
      <c r="M29" s="14"/>
      <c r="N29" s="14"/>
      <c r="O29" s="17"/>
      <c r="P29" s="17"/>
      <c r="Q29" s="15"/>
      <c r="R29" s="15"/>
      <c r="S29" s="17"/>
      <c r="T29" s="17"/>
      <c r="U29" s="12">
        <v>28</v>
      </c>
      <c r="V29" s="16" t="s">
        <v>74</v>
      </c>
    </row>
    <row r="30" spans="3:24" ht="18" customHeight="1" x14ac:dyDescent="0.25">
      <c r="E30" s="35"/>
      <c r="L30" s="26"/>
      <c r="M30" s="27"/>
      <c r="N30" s="14"/>
      <c r="O30" s="28"/>
      <c r="P30" s="28"/>
      <c r="Q30" s="15"/>
      <c r="R30" s="15"/>
      <c r="S30" s="17"/>
      <c r="T30" s="17"/>
      <c r="U30" s="12">
        <v>29</v>
      </c>
      <c r="V30" s="16" t="s">
        <v>223</v>
      </c>
    </row>
    <row r="31" spans="3:24" ht="18" customHeight="1" x14ac:dyDescent="0.25">
      <c r="E31" s="35"/>
      <c r="M31" s="14"/>
      <c r="N31" s="14"/>
      <c r="Q31" s="17"/>
      <c r="R31" s="17"/>
      <c r="U31" s="12">
        <v>30</v>
      </c>
      <c r="V31" s="16" t="s">
        <v>224</v>
      </c>
    </row>
    <row r="32" spans="3:24" ht="18" customHeight="1" x14ac:dyDescent="0.25">
      <c r="E32" s="35"/>
      <c r="M32" s="14"/>
      <c r="N32" s="14"/>
      <c r="Q32" s="17"/>
      <c r="R32" s="17"/>
      <c r="U32" s="12">
        <v>31</v>
      </c>
      <c r="V32" s="16" t="s">
        <v>225</v>
      </c>
    </row>
    <row r="33" spans="5:22" s="11" customFormat="1" ht="18" customHeight="1" x14ac:dyDescent="0.25">
      <c r="E33" s="35"/>
      <c r="F33" s="12"/>
      <c r="G33" s="12"/>
      <c r="H33" s="12"/>
      <c r="I33" s="12"/>
      <c r="J33" s="25"/>
      <c r="K33" s="13"/>
      <c r="L33" s="24"/>
      <c r="M33" s="14"/>
      <c r="N33" s="14"/>
      <c r="Q33" s="17"/>
      <c r="R33" s="17"/>
      <c r="U33" s="12">
        <v>32</v>
      </c>
      <c r="V33" s="16" t="s">
        <v>226</v>
      </c>
    </row>
    <row r="34" spans="5:22" s="11" customFormat="1" ht="18" customHeight="1" x14ac:dyDescent="0.25">
      <c r="E34" s="35"/>
      <c r="F34" s="12"/>
      <c r="G34" s="12"/>
      <c r="H34" s="12"/>
      <c r="I34" s="12"/>
      <c r="J34" s="25"/>
      <c r="K34" s="13"/>
      <c r="L34" s="24"/>
      <c r="M34" s="14"/>
      <c r="N34" s="14"/>
      <c r="Q34" s="17"/>
      <c r="R34" s="17"/>
      <c r="U34" s="12">
        <v>33</v>
      </c>
      <c r="V34" s="16" t="s">
        <v>227</v>
      </c>
    </row>
    <row r="35" spans="5:22" s="11" customFormat="1" ht="18" customHeight="1" x14ac:dyDescent="0.25">
      <c r="E35" s="12"/>
      <c r="F35" s="12"/>
      <c r="G35" s="12"/>
      <c r="H35" s="12"/>
      <c r="I35" s="12"/>
      <c r="J35" s="25"/>
      <c r="K35" s="13"/>
      <c r="L35" s="24"/>
      <c r="M35" s="14"/>
      <c r="N35" s="14"/>
      <c r="Q35" s="17"/>
      <c r="R35" s="17"/>
      <c r="U35" s="12">
        <v>34</v>
      </c>
      <c r="V35" s="16" t="s">
        <v>228</v>
      </c>
    </row>
    <row r="36" spans="5:22" s="11" customFormat="1" ht="18" customHeight="1" x14ac:dyDescent="0.25">
      <c r="E36" s="12"/>
      <c r="F36" s="12"/>
      <c r="G36" s="12"/>
      <c r="H36" s="12"/>
      <c r="I36" s="12"/>
      <c r="J36" s="25"/>
      <c r="K36" s="13"/>
      <c r="L36" s="24"/>
      <c r="M36" s="14"/>
      <c r="N36" s="14"/>
      <c r="U36" s="12">
        <v>35</v>
      </c>
      <c r="V36" s="16" t="s">
        <v>229</v>
      </c>
    </row>
    <row r="37" spans="5:22" s="11" customFormat="1" ht="18" customHeight="1" x14ac:dyDescent="0.25">
      <c r="E37" s="12"/>
      <c r="F37" s="12"/>
      <c r="G37" s="12"/>
      <c r="H37" s="12"/>
      <c r="I37" s="12"/>
      <c r="J37" s="25"/>
      <c r="K37" s="13"/>
      <c r="L37" s="24"/>
      <c r="M37" s="14"/>
      <c r="N37" s="14"/>
      <c r="U37" s="12">
        <v>36</v>
      </c>
      <c r="V37" s="16" t="s">
        <v>230</v>
      </c>
    </row>
    <row r="38" spans="5:22" s="11" customFormat="1" ht="18" customHeight="1" x14ac:dyDescent="0.25">
      <c r="E38" s="12"/>
      <c r="F38" s="12"/>
      <c r="G38" s="12"/>
      <c r="H38" s="12"/>
      <c r="I38" s="12"/>
      <c r="J38" s="25"/>
      <c r="K38" s="13"/>
      <c r="L38" s="24"/>
      <c r="M38" s="14"/>
      <c r="N38" s="14"/>
      <c r="U38" s="12">
        <v>37</v>
      </c>
      <c r="V38" s="16" t="s">
        <v>20</v>
      </c>
    </row>
    <row r="39" spans="5:22" s="11" customFormat="1" ht="18" customHeight="1" x14ac:dyDescent="0.25">
      <c r="E39" s="12"/>
      <c r="F39" s="12"/>
      <c r="G39" s="12"/>
      <c r="H39" s="12"/>
      <c r="I39" s="12"/>
      <c r="J39" s="25"/>
      <c r="K39" s="13"/>
      <c r="L39" s="24"/>
      <c r="M39" s="14"/>
      <c r="N39" s="14"/>
      <c r="U39" s="12">
        <v>38</v>
      </c>
      <c r="V39" s="16" t="s">
        <v>231</v>
      </c>
    </row>
    <row r="40" spans="5:22" s="11" customFormat="1" ht="18" customHeight="1" x14ac:dyDescent="0.25">
      <c r="E40" s="12"/>
      <c r="F40" s="12"/>
      <c r="G40" s="12"/>
      <c r="H40" s="12"/>
      <c r="I40" s="12"/>
      <c r="J40" s="25"/>
      <c r="K40" s="13"/>
      <c r="L40" s="24"/>
      <c r="M40" s="14"/>
      <c r="N40" s="14"/>
      <c r="U40" s="12">
        <v>39</v>
      </c>
      <c r="V40" s="16" t="s">
        <v>232</v>
      </c>
    </row>
    <row r="41" spans="5:22" s="11" customFormat="1" ht="18" customHeight="1" x14ac:dyDescent="0.25">
      <c r="E41" s="12"/>
      <c r="F41" s="12"/>
      <c r="G41" s="12"/>
      <c r="H41" s="12"/>
      <c r="I41" s="12"/>
      <c r="J41" s="25"/>
      <c r="K41" s="13"/>
      <c r="L41" s="24"/>
      <c r="M41" s="14"/>
      <c r="N41" s="14"/>
      <c r="U41" s="12">
        <v>40</v>
      </c>
      <c r="V41" s="16" t="s">
        <v>233</v>
      </c>
    </row>
    <row r="42" spans="5:22" s="11" customFormat="1" ht="18" customHeight="1" x14ac:dyDescent="0.25">
      <c r="E42" s="12"/>
      <c r="F42" s="12"/>
      <c r="G42" s="12"/>
      <c r="H42" s="12"/>
      <c r="I42" s="12"/>
      <c r="J42" s="25"/>
      <c r="K42" s="13"/>
      <c r="L42" s="24"/>
      <c r="M42" s="14"/>
      <c r="N42" s="14"/>
      <c r="U42" s="12">
        <v>41</v>
      </c>
      <c r="V42" s="16" t="s">
        <v>234</v>
      </c>
    </row>
    <row r="43" spans="5:22" s="11" customFormat="1" ht="18" customHeight="1" x14ac:dyDescent="0.25">
      <c r="E43" s="12"/>
      <c r="F43" s="12"/>
      <c r="G43" s="12"/>
      <c r="H43" s="12"/>
      <c r="I43" s="12"/>
      <c r="J43" s="25"/>
      <c r="K43" s="13"/>
      <c r="L43" s="24"/>
      <c r="M43" s="14"/>
      <c r="N43" s="14"/>
      <c r="U43" s="12">
        <v>42</v>
      </c>
      <c r="V43" s="16" t="s">
        <v>235</v>
      </c>
    </row>
    <row r="44" spans="5:22" s="11" customFormat="1" ht="18" customHeight="1" x14ac:dyDescent="0.25">
      <c r="E44" s="12"/>
      <c r="F44" s="12"/>
      <c r="G44" s="12"/>
      <c r="H44" s="12"/>
      <c r="I44" s="12"/>
      <c r="J44" s="25"/>
      <c r="K44" s="13"/>
      <c r="L44" s="24"/>
      <c r="M44" s="14"/>
      <c r="N44" s="14"/>
      <c r="U44" s="12">
        <v>43</v>
      </c>
      <c r="V44" s="16" t="s">
        <v>236</v>
      </c>
    </row>
    <row r="45" spans="5:22" s="11" customFormat="1" ht="18" customHeight="1" x14ac:dyDescent="0.25">
      <c r="E45" s="12"/>
      <c r="F45" s="12"/>
      <c r="G45" s="12"/>
      <c r="H45" s="12"/>
      <c r="I45" s="12"/>
      <c r="J45" s="25"/>
      <c r="K45" s="13"/>
      <c r="L45" s="24"/>
      <c r="M45" s="14"/>
      <c r="N45" s="14"/>
      <c r="U45" s="12">
        <v>44</v>
      </c>
      <c r="V45" s="16" t="s">
        <v>237</v>
      </c>
    </row>
    <row r="46" spans="5:22" s="11" customFormat="1" ht="18" customHeight="1" x14ac:dyDescent="0.25">
      <c r="E46" s="12"/>
      <c r="F46" s="12"/>
      <c r="G46" s="12"/>
      <c r="H46" s="12"/>
      <c r="I46" s="12"/>
      <c r="J46" s="25"/>
      <c r="K46" s="13"/>
      <c r="L46" s="24"/>
      <c r="M46" s="14"/>
      <c r="N46" s="14"/>
      <c r="U46" s="12">
        <v>45</v>
      </c>
      <c r="V46" s="16" t="s">
        <v>238</v>
      </c>
    </row>
    <row r="47" spans="5:22" s="11" customFormat="1" ht="18" customHeight="1" x14ac:dyDescent="0.25">
      <c r="E47" s="12"/>
      <c r="F47" s="12"/>
      <c r="G47" s="12"/>
      <c r="H47" s="12"/>
      <c r="I47" s="12"/>
      <c r="J47" s="25"/>
      <c r="K47" s="13"/>
      <c r="L47" s="24"/>
      <c r="M47" s="14"/>
      <c r="N47" s="14"/>
      <c r="U47" s="12">
        <v>46</v>
      </c>
      <c r="V47" s="16" t="s">
        <v>16</v>
      </c>
    </row>
    <row r="48" spans="5:22" s="11" customFormat="1" ht="18" customHeight="1" x14ac:dyDescent="0.25">
      <c r="E48" s="12"/>
      <c r="F48" s="12"/>
      <c r="G48" s="12"/>
      <c r="H48" s="12"/>
      <c r="I48" s="12"/>
      <c r="J48" s="25"/>
      <c r="K48" s="13"/>
      <c r="L48" s="24"/>
      <c r="M48" s="14"/>
      <c r="N48" s="14"/>
      <c r="U48" s="12">
        <v>47</v>
      </c>
      <c r="V48" s="16" t="s">
        <v>239</v>
      </c>
    </row>
    <row r="49" spans="13:22" s="11" customFormat="1" ht="18" customHeight="1" x14ac:dyDescent="0.25">
      <c r="M49" s="14"/>
      <c r="N49" s="14"/>
      <c r="U49" s="12">
        <v>48</v>
      </c>
      <c r="V49" s="16" t="s">
        <v>240</v>
      </c>
    </row>
    <row r="50" spans="13:22" s="11" customFormat="1" ht="18" customHeight="1" x14ac:dyDescent="0.25">
      <c r="M50" s="14"/>
      <c r="N50" s="14"/>
      <c r="U50" s="12">
        <v>49</v>
      </c>
      <c r="V50" s="16" t="s">
        <v>241</v>
      </c>
    </row>
    <row r="51" spans="13:22" s="11" customFormat="1" ht="18" customHeight="1" x14ac:dyDescent="0.25">
      <c r="N51" s="14"/>
      <c r="U51" s="12">
        <v>50</v>
      </c>
      <c r="V51" s="16" t="s">
        <v>242</v>
      </c>
    </row>
    <row r="52" spans="13:22" s="11" customFormat="1" ht="18" customHeight="1" x14ac:dyDescent="0.25">
      <c r="N52" s="14"/>
      <c r="U52" s="12">
        <v>51</v>
      </c>
      <c r="V52" s="16" t="s">
        <v>243</v>
      </c>
    </row>
    <row r="53" spans="13:22" s="11" customFormat="1" ht="18" customHeight="1" x14ac:dyDescent="0.25">
      <c r="N53" s="14"/>
      <c r="U53" s="12">
        <v>52</v>
      </c>
      <c r="V53" s="16" t="s">
        <v>244</v>
      </c>
    </row>
    <row r="54" spans="13:22" s="11" customFormat="1" ht="18" customHeight="1" x14ac:dyDescent="0.25">
      <c r="N54" s="14"/>
      <c r="U54" s="12">
        <v>53</v>
      </c>
      <c r="V54" s="16" t="s">
        <v>245</v>
      </c>
    </row>
    <row r="55" spans="13:22" s="11" customFormat="1" ht="18" customHeight="1" x14ac:dyDescent="0.25">
      <c r="U55" s="12">
        <v>54</v>
      </c>
      <c r="V55" s="16" t="s">
        <v>246</v>
      </c>
    </row>
    <row r="56" spans="13:22" s="11" customFormat="1" ht="18" customHeight="1" x14ac:dyDescent="0.25">
      <c r="U56" s="12">
        <v>55</v>
      </c>
      <c r="V56" s="16" t="s">
        <v>247</v>
      </c>
    </row>
    <row r="57" spans="13:22" s="11" customFormat="1" ht="18" customHeight="1" x14ac:dyDescent="0.25">
      <c r="U57" s="12">
        <v>56</v>
      </c>
      <c r="V57" s="16" t="s">
        <v>248</v>
      </c>
    </row>
    <row r="58" spans="13:22" s="11" customFormat="1" ht="18" customHeight="1" x14ac:dyDescent="0.25">
      <c r="U58" s="12">
        <v>57</v>
      </c>
      <c r="V58" s="16" t="s">
        <v>249</v>
      </c>
    </row>
    <row r="59" spans="13:22" s="11" customFormat="1" ht="18" customHeight="1" x14ac:dyDescent="0.25">
      <c r="U59" s="12">
        <v>58</v>
      </c>
      <c r="V59" s="16" t="s">
        <v>250</v>
      </c>
    </row>
    <row r="60" spans="13:22" s="11" customFormat="1" ht="18" customHeight="1" x14ac:dyDescent="0.25">
      <c r="U60" s="12">
        <v>59</v>
      </c>
      <c r="V60" s="16" t="s">
        <v>251</v>
      </c>
    </row>
    <row r="61" spans="13:22" s="11" customFormat="1" ht="18" customHeight="1" x14ac:dyDescent="0.25">
      <c r="U61" s="12">
        <v>60</v>
      </c>
      <c r="V61" s="16" t="s">
        <v>252</v>
      </c>
    </row>
    <row r="62" spans="13:22" s="11" customFormat="1" ht="18" customHeight="1" x14ac:dyDescent="0.25">
      <c r="U62" s="12">
        <v>61</v>
      </c>
      <c r="V62" s="16" t="s">
        <v>253</v>
      </c>
    </row>
    <row r="63" spans="13:22" s="11" customFormat="1" ht="18" customHeight="1" x14ac:dyDescent="0.25">
      <c r="U63" s="12">
        <v>62</v>
      </c>
      <c r="V63" s="16" t="s">
        <v>254</v>
      </c>
    </row>
    <row r="64" spans="13:22" s="11" customFormat="1" ht="18" customHeight="1" x14ac:dyDescent="0.25">
      <c r="U64" s="12">
        <v>63</v>
      </c>
      <c r="V64" s="16" t="s">
        <v>255</v>
      </c>
    </row>
    <row r="65" spans="21:22" s="11" customFormat="1" ht="18" customHeight="1" x14ac:dyDescent="0.25">
      <c r="U65" s="12">
        <v>64</v>
      </c>
      <c r="V65" s="16" t="s">
        <v>256</v>
      </c>
    </row>
    <row r="66" spans="21:22" s="11" customFormat="1" ht="18" customHeight="1" x14ac:dyDescent="0.25">
      <c r="U66" s="12">
        <v>65</v>
      </c>
      <c r="V66" s="16" t="s">
        <v>257</v>
      </c>
    </row>
    <row r="67" spans="21:22" s="11" customFormat="1" ht="18" customHeight="1" x14ac:dyDescent="0.25">
      <c r="U67" s="12">
        <v>66</v>
      </c>
      <c r="V67" s="16" t="s">
        <v>258</v>
      </c>
    </row>
    <row r="68" spans="21:22" s="11" customFormat="1" ht="18" customHeight="1" x14ac:dyDescent="0.25">
      <c r="U68" s="12">
        <v>67</v>
      </c>
      <c r="V68" s="16" t="s">
        <v>259</v>
      </c>
    </row>
    <row r="69" spans="21:22" s="11" customFormat="1" ht="18" customHeight="1" x14ac:dyDescent="0.25">
      <c r="U69" s="12">
        <v>68</v>
      </c>
      <c r="V69" s="16" t="s">
        <v>260</v>
      </c>
    </row>
    <row r="70" spans="21:22" s="11" customFormat="1" ht="18" customHeight="1" x14ac:dyDescent="0.25">
      <c r="U70" s="12">
        <v>69</v>
      </c>
      <c r="V70" s="16" t="s">
        <v>261</v>
      </c>
    </row>
    <row r="71" spans="21:22" s="11" customFormat="1" ht="18" customHeight="1" x14ac:dyDescent="0.25">
      <c r="U71" s="12">
        <v>70</v>
      </c>
      <c r="V71" s="16" t="s">
        <v>262</v>
      </c>
    </row>
    <row r="72" spans="21:22" s="11" customFormat="1" ht="18" customHeight="1" x14ac:dyDescent="0.25">
      <c r="U72" s="12">
        <v>71</v>
      </c>
      <c r="V72" s="16" t="s">
        <v>263</v>
      </c>
    </row>
    <row r="73" spans="21:22" s="11" customFormat="1" ht="18" customHeight="1" x14ac:dyDescent="0.25">
      <c r="U73" s="12">
        <v>72</v>
      </c>
      <c r="V73" s="16" t="s">
        <v>264</v>
      </c>
    </row>
    <row r="74" spans="21:22" s="11" customFormat="1" ht="18" customHeight="1" x14ac:dyDescent="0.25">
      <c r="U74" s="12">
        <v>73</v>
      </c>
      <c r="V74" s="16" t="s">
        <v>283</v>
      </c>
    </row>
    <row r="75" spans="21:22" s="11" customFormat="1" ht="18" customHeight="1" x14ac:dyDescent="0.25">
      <c r="U75" s="12">
        <v>74</v>
      </c>
      <c r="V75" s="16" t="s">
        <v>284</v>
      </c>
    </row>
    <row r="76" spans="21:22" s="11" customFormat="1" ht="18" customHeight="1" x14ac:dyDescent="0.25">
      <c r="U76" s="12">
        <v>75</v>
      </c>
      <c r="V76" s="16" t="s">
        <v>285</v>
      </c>
    </row>
    <row r="77" spans="21:22" s="11" customFormat="1" ht="18" customHeight="1" x14ac:dyDescent="0.25">
      <c r="U77" s="12">
        <v>76</v>
      </c>
      <c r="V77" s="16" t="s">
        <v>286</v>
      </c>
    </row>
    <row r="78" spans="21:22" s="11" customFormat="1" ht="18" customHeight="1" x14ac:dyDescent="0.25">
      <c r="U78" s="12">
        <v>77</v>
      </c>
      <c r="V78" s="16" t="s">
        <v>287</v>
      </c>
    </row>
    <row r="79" spans="21:22" s="11" customFormat="1" ht="18" customHeight="1" x14ac:dyDescent="0.25">
      <c r="U79" s="12">
        <v>78</v>
      </c>
      <c r="V79" s="16" t="s">
        <v>288</v>
      </c>
    </row>
    <row r="80" spans="21:22" s="11" customFormat="1" ht="18" customHeight="1" x14ac:dyDescent="0.25">
      <c r="U80" s="12">
        <v>79</v>
      </c>
      <c r="V80" s="16" t="s">
        <v>289</v>
      </c>
    </row>
    <row r="81" spans="21:22" s="11" customFormat="1" ht="18" customHeight="1" x14ac:dyDescent="0.25">
      <c r="U81" s="12">
        <v>80</v>
      </c>
      <c r="V81" s="16" t="s">
        <v>290</v>
      </c>
    </row>
    <row r="82" spans="21:22" s="11" customFormat="1" ht="18" customHeight="1" x14ac:dyDescent="0.25">
      <c r="U82" s="12">
        <v>81</v>
      </c>
      <c r="V82" s="16" t="s">
        <v>291</v>
      </c>
    </row>
    <row r="83" spans="21:22" s="11" customFormat="1" ht="18" customHeight="1" x14ac:dyDescent="0.25">
      <c r="U83" s="12">
        <v>82</v>
      </c>
      <c r="V83" s="16" t="s">
        <v>292</v>
      </c>
    </row>
    <row r="84" spans="21:22" s="11" customFormat="1" ht="18" customHeight="1" x14ac:dyDescent="0.25">
      <c r="U84" s="12">
        <v>83</v>
      </c>
      <c r="V84" s="16" t="s">
        <v>293</v>
      </c>
    </row>
    <row r="85" spans="21:22" s="11" customFormat="1" ht="18" customHeight="1" x14ac:dyDescent="0.25">
      <c r="U85" s="12">
        <v>84</v>
      </c>
      <c r="V85" s="16" t="s">
        <v>294</v>
      </c>
    </row>
    <row r="86" spans="21:22" s="11" customFormat="1" ht="18" customHeight="1" x14ac:dyDescent="0.25">
      <c r="U86" s="12">
        <v>85</v>
      </c>
      <c r="V86" s="16" t="s">
        <v>295</v>
      </c>
    </row>
    <row r="87" spans="21:22" s="11" customFormat="1" ht="18" customHeight="1" x14ac:dyDescent="0.25">
      <c r="U87" s="12">
        <v>86</v>
      </c>
      <c r="V87" s="16" t="s">
        <v>296</v>
      </c>
    </row>
    <row r="88" spans="21:22" s="11" customFormat="1" ht="18" customHeight="1" x14ac:dyDescent="0.25">
      <c r="U88" s="12">
        <v>87</v>
      </c>
      <c r="V88" s="16" t="s">
        <v>297</v>
      </c>
    </row>
    <row r="89" spans="21:22" s="11" customFormat="1" ht="18" customHeight="1" x14ac:dyDescent="0.25">
      <c r="U89" s="12">
        <v>88</v>
      </c>
      <c r="V89" s="16" t="s">
        <v>298</v>
      </c>
    </row>
    <row r="90" spans="21:22" s="11" customFormat="1" ht="18" customHeight="1" x14ac:dyDescent="0.25">
      <c r="U90" s="12">
        <v>89</v>
      </c>
      <c r="V90" s="16" t="s">
        <v>299</v>
      </c>
    </row>
    <row r="91" spans="21:22" s="11" customFormat="1" ht="18" customHeight="1" x14ac:dyDescent="0.25">
      <c r="U91" s="12">
        <v>90</v>
      </c>
      <c r="V91" s="16" t="s">
        <v>300</v>
      </c>
    </row>
    <row r="92" spans="21:22" s="11" customFormat="1" ht="18" customHeight="1" x14ac:dyDescent="0.25">
      <c r="U92" s="12">
        <v>91</v>
      </c>
      <c r="V92" s="16" t="s">
        <v>301</v>
      </c>
    </row>
    <row r="93" spans="21:22" s="11" customFormat="1" ht="18" customHeight="1" x14ac:dyDescent="0.25">
      <c r="U93" s="12">
        <v>92</v>
      </c>
      <c r="V93" s="16" t="s">
        <v>302</v>
      </c>
    </row>
    <row r="94" spans="21:22" s="11" customFormat="1" ht="18" customHeight="1" x14ac:dyDescent="0.25">
      <c r="U94" s="12">
        <v>93</v>
      </c>
      <c r="V94" s="16" t="s">
        <v>303</v>
      </c>
    </row>
    <row r="95" spans="21:22" s="11" customFormat="1" ht="18" customHeight="1" x14ac:dyDescent="0.25">
      <c r="U95" s="12">
        <v>94</v>
      </c>
      <c r="V95" s="16" t="s">
        <v>304</v>
      </c>
    </row>
    <row r="96" spans="21:22" s="11" customFormat="1" ht="18" customHeight="1" x14ac:dyDescent="0.25">
      <c r="U96" s="12">
        <v>95</v>
      </c>
      <c r="V96" s="16" t="s">
        <v>305</v>
      </c>
    </row>
    <row r="97" spans="21:22" s="11" customFormat="1" ht="18" customHeight="1" x14ac:dyDescent="0.25">
      <c r="U97" s="12">
        <v>96</v>
      </c>
      <c r="V97" s="16" t="s">
        <v>306</v>
      </c>
    </row>
    <row r="98" spans="21:22" s="11" customFormat="1" ht="18" customHeight="1" x14ac:dyDescent="0.25">
      <c r="U98" s="12">
        <v>97</v>
      </c>
      <c r="V98" s="16" t="s">
        <v>307</v>
      </c>
    </row>
    <row r="99" spans="21:22" s="11" customFormat="1" ht="18" customHeight="1" x14ac:dyDescent="0.25">
      <c r="U99" s="12">
        <v>98</v>
      </c>
      <c r="V99" s="16" t="s">
        <v>308</v>
      </c>
    </row>
    <row r="100" spans="21:22" s="11" customFormat="1" ht="18" customHeight="1" x14ac:dyDescent="0.25">
      <c r="U100" s="12">
        <v>99</v>
      </c>
      <c r="V100" s="16" t="s">
        <v>309</v>
      </c>
    </row>
    <row r="101" spans="21:22" s="11" customFormat="1" ht="18" customHeight="1" x14ac:dyDescent="0.25">
      <c r="U101" s="12">
        <v>100</v>
      </c>
      <c r="V101" s="16" t="s">
        <v>310</v>
      </c>
    </row>
    <row r="102" spans="21:22" s="11" customFormat="1" ht="18" customHeight="1" x14ac:dyDescent="0.25">
      <c r="U102" s="12">
        <v>101</v>
      </c>
      <c r="V102" s="16" t="s">
        <v>311</v>
      </c>
    </row>
    <row r="103" spans="21:22" s="11" customFormat="1" ht="18" customHeight="1" x14ac:dyDescent="0.25">
      <c r="U103" s="12">
        <v>102</v>
      </c>
      <c r="V103" s="16" t="s">
        <v>312</v>
      </c>
    </row>
    <row r="104" spans="21:22" s="11" customFormat="1" ht="18" customHeight="1" x14ac:dyDescent="0.25">
      <c r="U104" s="12">
        <v>103</v>
      </c>
      <c r="V104" s="16" t="s">
        <v>313</v>
      </c>
    </row>
    <row r="105" spans="21:22" s="11" customFormat="1" ht="18" customHeight="1" x14ac:dyDescent="0.25">
      <c r="U105" s="12">
        <v>104</v>
      </c>
      <c r="V105" s="16" t="s">
        <v>314</v>
      </c>
    </row>
    <row r="106" spans="21:22" s="11" customFormat="1" x14ac:dyDescent="0.25">
      <c r="U106" s="12">
        <v>105</v>
      </c>
      <c r="V106" s="16" t="s">
        <v>315</v>
      </c>
    </row>
    <row r="107" spans="21:22" s="11" customFormat="1" x14ac:dyDescent="0.25">
      <c r="U107" s="12">
        <v>106</v>
      </c>
      <c r="V107" s="34" t="s">
        <v>316</v>
      </c>
    </row>
    <row r="108" spans="21:22" s="11" customFormat="1" x14ac:dyDescent="0.25">
      <c r="U108" s="12">
        <v>107</v>
      </c>
      <c r="V108" s="34" t="s">
        <v>317</v>
      </c>
    </row>
    <row r="109" spans="21:22" s="11" customFormat="1" x14ac:dyDescent="0.25">
      <c r="U109" s="12">
        <v>108</v>
      </c>
      <c r="V109" s="34" t="s">
        <v>318</v>
      </c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Capa</vt:lpstr>
      <vt:lpstr>Escala1</vt:lpstr>
      <vt:lpstr>Horas Extras</vt:lpstr>
      <vt:lpstr>Formulário</vt:lpstr>
      <vt:lpstr>Listas de Opções</vt:lpstr>
      <vt:lpstr>Escala1!Area_de_impressao</vt:lpstr>
      <vt:lpstr>Formulário!CF</vt:lpstr>
      <vt:lpstr>Formulário!Texto13</vt:lpstr>
      <vt:lpstr>Escala1!Titulos_de_impressao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Infraero</dc:creator>
  <cp:lastModifiedBy>Alexandre Augusto Ferro Costa</cp:lastModifiedBy>
  <cp:lastPrinted>2024-03-04T13:25:02Z</cp:lastPrinted>
  <dcterms:created xsi:type="dcterms:W3CDTF">1997-10-22T13:34:10Z</dcterms:created>
  <dcterms:modified xsi:type="dcterms:W3CDTF">2024-03-04T13:32:28Z</dcterms:modified>
</cp:coreProperties>
</file>